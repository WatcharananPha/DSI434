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794378a97e90fac/Documents/Time/DSI434/"/>
    </mc:Choice>
  </mc:AlternateContent>
  <xr:revisionPtr revIDLastSave="109" documentId="13_ncr:1_{6D201687-23F2-49D5-B461-1E0B2C370C0B}" xr6:coauthVersionLast="47" xr6:coauthVersionMax="47" xr10:uidLastSave="{E7EDBE38-4313-48E1-AC83-A1849B6433EA}"/>
  <bookViews>
    <workbookView xWindow="-108" yWindow="-108" windowWidth="23256" windowHeight="12456" tabRatio="895" firstSheet="4" activeTab="4" xr2:uid="{00000000-000D-0000-FFFF-FFFF00000000}"/>
  </bookViews>
  <sheets>
    <sheet name="Data" sheetId="4" state="hidden" r:id="rId1"/>
    <sheet name="Risk Criteria (TH)" sheetId="11" state="hidden" r:id="rId2"/>
    <sheet name="Risk Criteria (ENG)" sheetId="12" state="hidden" r:id="rId3"/>
    <sheet name="Data1" sheetId="5" state="hidden" r:id="rId4"/>
    <sheet name="2. BIA Process" sheetId="19" r:id="rId5"/>
    <sheet name="3.RA Process" sheetId="10" r:id="rId6"/>
    <sheet name="Risk Criteria" sheetId="20" r:id="rId7"/>
    <sheet name="1.3 BIA Plant incident" sheetId="22" r:id="rId8"/>
    <sheet name="1.2 Plant incident " sheetId="14" r:id="rId9"/>
    <sheet name="3.RA Crisis" sheetId="13" r:id="rId10"/>
    <sheet name="1.4 RA Plant Incident " sheetId="17" r:id="rId11"/>
    <sheet name="2. BIA Product" sheetId="18" r:id="rId12"/>
    <sheet name="2.2 BIA Process" sheetId="8" state="hidden" r:id="rId13"/>
    <sheet name="2.2.2 BIA Plant Incident 2" sheetId="16" state="hidden" r:id="rId14"/>
    <sheet name="Risk Heat Map Criteria" sheetId="21" r:id="rId15"/>
    <sheet name="Scenarios" sheetId="23" r:id="rId16"/>
  </sheets>
  <definedNames>
    <definedName name="_xlnm.Print_Area" localSheetId="2">'Risk Criteria (ENG)'!$B$1:$G$29</definedName>
    <definedName name="_xlnm.Print_Titles" localSheetId="8">'1.2 Plant incident 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9" l="1"/>
  <c r="U3" i="19"/>
  <c r="U4" i="19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" i="19"/>
  <c r="K8" i="19"/>
  <c r="K2" i="19"/>
  <c r="K3" i="19" l="1"/>
  <c r="K4" i="19"/>
  <c r="K5" i="19"/>
  <c r="J3" i="13" l="1"/>
  <c r="AE3" i="18"/>
  <c r="F4" i="18"/>
  <c r="F3" i="18"/>
  <c r="B4" i="18"/>
  <c r="B3" i="18"/>
  <c r="N4" i="18"/>
  <c r="N3" i="18"/>
  <c r="K5" i="17" l="1"/>
  <c r="J5" i="17" s="1"/>
  <c r="V5" i="17"/>
  <c r="U5" i="17" s="1"/>
  <c r="K4" i="17"/>
  <c r="J4" i="17" s="1"/>
  <c r="V4" i="17"/>
  <c r="U4" i="17" s="1"/>
  <c r="K20" i="19" l="1"/>
  <c r="K19" i="19"/>
  <c r="K18" i="19" l="1"/>
  <c r="K17" i="19"/>
  <c r="K16" i="19"/>
  <c r="K15" i="19"/>
  <c r="K13" i="19"/>
  <c r="K12" i="19"/>
  <c r="K10" i="19"/>
  <c r="K14" i="19" l="1"/>
  <c r="K11" i="19"/>
  <c r="K9" i="19"/>
  <c r="K7" i="19"/>
  <c r="K6" i="19"/>
  <c r="K8" i="18" l="1"/>
  <c r="L8" i="18" s="1"/>
  <c r="K9" i="18"/>
  <c r="L9" i="18" s="1"/>
  <c r="K10" i="18"/>
  <c r="L10" i="18" s="1"/>
  <c r="K11" i="18"/>
  <c r="L11" i="18" s="1"/>
  <c r="K12" i="18"/>
  <c r="L12" i="18" s="1"/>
  <c r="K13" i="18"/>
  <c r="L13" i="18" s="1"/>
  <c r="K14" i="18"/>
  <c r="L14" i="18" s="1"/>
  <c r="K15" i="18"/>
  <c r="L15" i="18" s="1"/>
  <c r="K16" i="18"/>
  <c r="L16" i="18" s="1"/>
  <c r="K17" i="18"/>
  <c r="L17" i="18" s="1"/>
  <c r="K18" i="18"/>
  <c r="L18" i="18"/>
  <c r="K19" i="18"/>
  <c r="L19" i="18" s="1"/>
  <c r="K20" i="18"/>
  <c r="L20" i="18" s="1"/>
  <c r="K21" i="18"/>
  <c r="L21" i="18" s="1"/>
  <c r="K22" i="18"/>
  <c r="L22" i="18" s="1"/>
  <c r="K23" i="18"/>
  <c r="L23" i="18" s="1"/>
  <c r="K24" i="18"/>
  <c r="L24" i="18" s="1"/>
  <c r="K25" i="18"/>
  <c r="L25" i="18" s="1"/>
  <c r="K26" i="18"/>
  <c r="L26" i="18" s="1"/>
  <c r="K27" i="18"/>
  <c r="L27" i="18" s="1"/>
  <c r="K28" i="18"/>
  <c r="L28" i="18" s="1"/>
  <c r="K15" i="13" l="1"/>
  <c r="V15" i="13" l="1"/>
  <c r="U15" i="13" s="1"/>
  <c r="M3" i="10"/>
  <c r="M6" i="10"/>
  <c r="M7" i="10"/>
  <c r="N3" i="10"/>
  <c r="N6" i="10"/>
  <c r="N7" i="10"/>
  <c r="O3" i="10"/>
  <c r="O6" i="10"/>
  <c r="O7" i="10"/>
  <c r="O8" i="10"/>
  <c r="N8" i="10"/>
  <c r="M8" i="10"/>
  <c r="O9" i="10"/>
  <c r="N9" i="10"/>
  <c r="M9" i="10"/>
  <c r="O10" i="10"/>
  <c r="N10" i="10"/>
  <c r="M10" i="10"/>
  <c r="O11" i="10"/>
  <c r="N11" i="10"/>
  <c r="M11" i="10"/>
  <c r="O12" i="10"/>
  <c r="N12" i="10"/>
  <c r="M12" i="10"/>
  <c r="O13" i="10"/>
  <c r="N13" i="10"/>
  <c r="M13" i="10"/>
  <c r="O14" i="10"/>
  <c r="N14" i="10"/>
  <c r="M14" i="10"/>
  <c r="O15" i="10"/>
  <c r="N15" i="10"/>
  <c r="M15" i="10"/>
  <c r="O16" i="10"/>
  <c r="N16" i="10"/>
  <c r="M16" i="10"/>
  <c r="O17" i="10"/>
  <c r="N17" i="10"/>
  <c r="M17" i="10"/>
  <c r="O18" i="10"/>
  <c r="N18" i="10"/>
  <c r="M18" i="10"/>
  <c r="M19" i="10"/>
  <c r="O19" i="10"/>
  <c r="N19" i="10"/>
  <c r="O20" i="10"/>
  <c r="N20" i="10"/>
  <c r="M20" i="10"/>
  <c r="O21" i="10"/>
  <c r="O22" i="10"/>
  <c r="N21" i="10"/>
  <c r="M21" i="10"/>
  <c r="N22" i="10"/>
  <c r="M22" i="10"/>
  <c r="V3" i="17" l="1"/>
  <c r="U3" i="17" s="1"/>
  <c r="N3" i="17"/>
  <c r="M3" i="17"/>
  <c r="L3" i="17"/>
  <c r="K3" i="17"/>
  <c r="J3" i="17" s="1"/>
  <c r="O4" i="16"/>
  <c r="F4" i="16"/>
  <c r="B4" i="16"/>
  <c r="O3" i="16"/>
  <c r="F3" i="16"/>
  <c r="B3" i="16"/>
  <c r="J15" i="13"/>
  <c r="V14" i="13"/>
  <c r="U14" i="13" s="1"/>
  <c r="K14" i="13"/>
  <c r="J14" i="13" s="1"/>
  <c r="V13" i="13"/>
  <c r="U13" i="13" s="1"/>
  <c r="K13" i="13"/>
  <c r="J13" i="13" s="1"/>
  <c r="V12" i="13"/>
  <c r="U12" i="13" s="1"/>
  <c r="K12" i="13"/>
  <c r="J12" i="13" s="1"/>
  <c r="V11" i="13"/>
  <c r="U11" i="13" s="1"/>
  <c r="K11" i="13"/>
  <c r="J11" i="13" s="1"/>
  <c r="V10" i="13"/>
  <c r="U10" i="13" s="1"/>
  <c r="K10" i="13"/>
  <c r="J10" i="13" s="1"/>
  <c r="V9" i="13"/>
  <c r="U9" i="13" s="1"/>
  <c r="K9" i="13"/>
  <c r="J9" i="13" s="1"/>
  <c r="V8" i="13"/>
  <c r="U8" i="13" s="1"/>
  <c r="K8" i="13"/>
  <c r="J8" i="13" s="1"/>
  <c r="W3" i="10"/>
  <c r="V3" i="10" s="1"/>
  <c r="W6" i="10"/>
  <c r="V6" i="10" s="1"/>
  <c r="W7" i="10"/>
  <c r="W8" i="10"/>
  <c r="W9" i="10"/>
  <c r="W10" i="10"/>
  <c r="W11" i="10"/>
  <c r="W12" i="10"/>
  <c r="W13" i="10"/>
  <c r="W14" i="10"/>
  <c r="W15" i="10"/>
  <c r="W16" i="10"/>
  <c r="W17" i="10"/>
  <c r="W18" i="10"/>
  <c r="V18" i="10" s="1"/>
  <c r="W19" i="10"/>
  <c r="V19" i="10" s="1"/>
  <c r="W20" i="10"/>
  <c r="V20" i="10" s="1"/>
  <c r="W21" i="10"/>
  <c r="V21" i="10" s="1"/>
  <c r="W22" i="10"/>
  <c r="V22" i="10" s="1"/>
  <c r="W23" i="10"/>
  <c r="V23" i="10" s="1"/>
  <c r="N23" i="10"/>
  <c r="O23" i="10"/>
  <c r="M23" i="10"/>
  <c r="L23" i="10"/>
  <c r="K23" i="10" s="1"/>
  <c r="L18" i="10"/>
  <c r="K18" i="10" s="1"/>
  <c r="L19" i="10"/>
  <c r="K19" i="10" s="1"/>
  <c r="L20" i="10"/>
  <c r="K20" i="10" s="1"/>
  <c r="L21" i="10"/>
  <c r="K21" i="10" s="1"/>
  <c r="L22" i="10"/>
  <c r="K22" i="10" s="1"/>
  <c r="V8" i="10" l="1"/>
  <c r="L6" i="10"/>
  <c r="K6" i="10" s="1"/>
  <c r="L3" i="10"/>
  <c r="L7" i="10"/>
  <c r="L8" i="10"/>
  <c r="K8" i="10" s="1"/>
  <c r="L9" i="10"/>
  <c r="L10" i="10"/>
  <c r="L11" i="10"/>
  <c r="L12" i="10"/>
  <c r="L13" i="10"/>
  <c r="L14" i="10"/>
  <c r="L15" i="10"/>
  <c r="L16" i="10"/>
  <c r="L17" i="10"/>
  <c r="K5" i="10" l="1"/>
  <c r="K7" i="10"/>
  <c r="K3" i="10"/>
  <c r="K4" i="10"/>
  <c r="V7" i="10"/>
  <c r="V9" i="10"/>
  <c r="V10" i="10"/>
  <c r="V11" i="10"/>
  <c r="V12" i="10"/>
  <c r="V13" i="10"/>
  <c r="V14" i="10"/>
  <c r="V15" i="10"/>
  <c r="V16" i="10"/>
  <c r="V17" i="10"/>
  <c r="K9" i="10" l="1"/>
  <c r="K10" i="10"/>
  <c r="K11" i="10"/>
  <c r="K12" i="10"/>
  <c r="K13" i="10"/>
  <c r="K14" i="10"/>
  <c r="K15" i="10"/>
  <c r="K16" i="10"/>
  <c r="K17" i="10"/>
  <c r="J4" i="13" l="1"/>
  <c r="F4" i="13"/>
  <c r="C4" i="13"/>
  <c r="F3" i="13"/>
  <c r="C3" i="13"/>
  <c r="O4" i="8" l="1"/>
  <c r="F4" i="8"/>
  <c r="B4" i="8"/>
  <c r="O3" i="8"/>
  <c r="F3" i="8"/>
  <c r="B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DUTHARUTHAI  NAPOMBEJARA</author>
    <author>Raymond Ee</author>
  </authors>
  <commentList>
    <comment ref="C1" authorId="0" shapeId="0" xr:uid="{00000000-0006-0000-0600-000001000000}">
      <text>
        <r>
          <rPr>
            <b/>
            <sz val="8"/>
            <color indexed="81"/>
            <rFont val="BrowalliaUPC"/>
            <family val="2"/>
          </rPr>
          <t>ระดับความรุนแรง
1.ไม่มีผลกระทบ
2.ความไม่สะดวกบางอย่างเกิดขึ้น: แต่ไม่มีผลเสียในระยะสั้นหรือระยะยาว
3.ความไม่สะดวกที่เกิดขึ้น: จะส่งผลกระทบในระยะสั้น แต่ไม่มีความเสียหายในระยะยาว
4.ความเสียหายที่อาจเกิดขึ้นอย่างร้ายแรงในระยะยาว: การฝ่าฝืนกฎหมายว่าด้วยหนังสือบริคณห์สนธิหรือกฎหมายอื่นๆ และจะกลายเป็นภัยพิบัติ
5.ความเสียหายต่อองค์กรที่ไม่สามารถแก้ไขได้</t>
        </r>
      </text>
    </comment>
    <comment ref="L1" authorId="1" shapeId="0" xr:uid="{00000000-0006-0000-0600-000002000000}">
      <text>
        <r>
          <rPr>
            <b/>
            <sz val="9"/>
            <color indexed="81"/>
            <rFont val="BrowalliaUPC"/>
            <family val="2"/>
          </rPr>
          <t>MTPD = Time taken for adverse impacts, which might arise due to not providing a product/service or performing an activity, to become unacceptable.</t>
        </r>
        <r>
          <rPr>
            <sz val="9"/>
            <color indexed="81"/>
            <rFont val="BrowalliaUPC"/>
            <family val="2"/>
          </rPr>
          <t xml:space="preserve">
ช่วงเวลานานที่สุดที่ธุรกิจหยุดชะงัก หากเกินกำหนดช่วงเวลานี้แล้วจะส่งผลให้เกิดความเสียหายต่อบริษัทฯ ในระดับที่ยอมรับไม่ได้</t>
        </r>
      </text>
    </comment>
    <comment ref="M1" authorId="1" shapeId="0" xr:uid="{00000000-0006-0000-0600-000003000000}">
      <text>
        <r>
          <rPr>
            <sz val="11"/>
            <color indexed="81"/>
            <rFont val="BrowalliaUPC"/>
            <family val="2"/>
          </rPr>
          <t>ระยะเวลาเป้าหมายที่ใช้ในการดำเนินการเพื่อให้การส่งมอบผลิตภัณฑ์ บริการ และกิจกรรมหรือกระบวนการกลับสู่สภาวะปกติหลังจากเกิดการหยุดชะงัก</t>
        </r>
      </text>
    </comment>
    <comment ref="N1" authorId="1" shapeId="0" xr:uid="{00000000-0006-0000-0600-000004000000}">
      <text>
        <r>
          <rPr>
            <b/>
            <sz val="9"/>
            <color indexed="81"/>
            <rFont val="BrowalliaUPC"/>
            <family val="2"/>
          </rPr>
          <t>Recovery Time Objective. The period of time following an incident within which product or service must be resumed, or activity must be resumed, or resources must be recovered.
ระดับต่ำสุดของการบริการ และ/หรือ ผลิตภัณฑ์ที่องค์กรยอมรับ โดยยังคงสามารถบรรลุวัตถุประสงค์ทางธุรกิจในระหว่างเกิดการหยุดชะงัก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DUTHARUTHAI  NAPOMBEJARA</author>
  </authors>
  <commentList>
    <comment ref="C1" authorId="0" shapeId="0" xr:uid="{00000000-0006-0000-0B00-000001000000}">
      <text>
        <r>
          <rPr>
            <b/>
            <sz val="8"/>
            <color indexed="81"/>
            <rFont val="BrowalliaUPC"/>
            <family val="2"/>
          </rPr>
          <t>ระดับความรุนแรง
1.ไม่มีผลกระทบ
2.ความไม่สะดวกบางอย่างเกิดขึ้น: แต่ไม่มีผลเสียในระยะสั้นหรือระยะยาว
3.ความไม่สะดวกที่เกิดขึ้น: จะส่งผลกระทบในระยะสั้น แต่ไม่มีความเสียหายในระยะยาว
4.ความเสียหายที่อาจเกิดขึ้นอย่างร้ายแรงในระยะยาว: การฝ่าฝืนกฎหมายว่าด้วยหนังสือบริคณห์สนธิหรือกฎหมายอื่นๆ และจะกลายเป็นภัยพิบัติ
5.ความเสียหายต่อองค์กรที่ไม่สามารถแก้ไขได้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DUTHARUTHAI  NAPOMBEJARA</author>
    <author>Raymond Ee</author>
    <author>Khomgrish Dulyasit-GPSC</author>
  </authors>
  <commentList>
    <comment ref="C6" authorId="0" shapeId="0" xr:uid="{00000000-0006-0000-0500-000001000000}">
      <text>
        <r>
          <rPr>
            <b/>
            <sz val="8"/>
            <color indexed="81"/>
            <rFont val="BrowalliaUPC"/>
            <family val="2"/>
          </rPr>
          <t>ระดับความรุนแรง
1.ไม่มีผลกระทบ
2.ความไม่สะดวกบางอย่างเกิดขึ้น: แต่ไม่มีผลเสียในระยะสั้นหรือระยะยาว
3.ความไม่สะดวกที่เกิดขึ้น: จะส่งผลกระทบในระยะสั้น แต่ไม่มีความเสียหายในระยะยาว
4.ความเสียหายที่อาจเกิดขึ้นอย่างร้ายแรงในระยะยาว: การฝ่าฝืนกฎหมายว่าด้วยหนังสือบริคณห์สนธิหรือกฎหมายอื่นๆ และจะกลายเป็นภัยพิบัติ
5.ความเสียหายต่อองค์กรที่ไม่สามารถแก้ไขได้</t>
        </r>
      </text>
    </comment>
    <comment ref="M6" authorId="1" shapeId="0" xr:uid="{00000000-0006-0000-0500-000002000000}">
      <text>
        <r>
          <rPr>
            <b/>
            <sz val="9"/>
            <color indexed="81"/>
            <rFont val="BrowalliaUPC"/>
            <family val="2"/>
          </rPr>
          <t>MTPD = Time taken for adverse impacts, which might arise due to not providing a product/service or performing an activity, to become unacceptable.</t>
        </r>
        <r>
          <rPr>
            <sz val="9"/>
            <color indexed="81"/>
            <rFont val="BrowalliaUPC"/>
            <family val="2"/>
          </rPr>
          <t xml:space="preserve">
ช่วงเวลานานที่สุดที่ธุรกิจหยุดชะงัก หากเกินกำหนดช่วงเวลานี้แล้วจะส่งผลให้เกิดความเสียหายต่อบริษัทฯ ในระดับที่ยอมรับไม่ได้</t>
        </r>
      </text>
    </comment>
    <comment ref="N6" authorId="1" shapeId="0" xr:uid="{00000000-0006-0000-0500-000003000000}">
      <text>
        <r>
          <rPr>
            <sz val="11"/>
            <color indexed="81"/>
            <rFont val="BrowalliaUPC"/>
            <family val="2"/>
          </rPr>
          <t>ระยะเวลาเป้าหมายที่ใช้ในการดำเนินการเพื่อให้การส่งมอบผลิตภัณฑ์ บริการ และกิจกรรมหรือกระบวนการกลับสู่สภาวะปกติหลังจากเกิดการหยุดชะงัก</t>
        </r>
      </text>
    </comment>
    <comment ref="O6" authorId="1" shapeId="0" xr:uid="{00000000-0006-0000-0500-000004000000}">
      <text>
        <r>
          <rPr>
            <b/>
            <sz val="9"/>
            <color indexed="81"/>
            <rFont val="BrowalliaUPC"/>
            <family val="2"/>
          </rPr>
          <t>Recovery Time Objective. The period of time following an incident within which product or service must be resumed, or activity must be resumed, or resources must be recovered.
ระดับต่ำสุดของการบริการ และ/หรือ ผลิตภัณฑ์ที่องค์กรยอมรับ โดยยังคงสามารถบรรลุวัตถุประสงค์ทางธุรกิจในระหว่างเกิดการหยุดชะงัก</t>
        </r>
      </text>
    </comment>
    <comment ref="O8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Load Customer 160 MW
Import PEA max 80 MW</t>
        </r>
      </text>
    </comment>
    <comment ref="Q8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Shift 7 persons
OC1M 1 person
OCV 1 person
MTN Manager 1 person
MTN Engineer 3 persons</t>
        </r>
      </text>
    </comment>
    <comment ref="R8" authorId="2" shapeId="0" xr:uid="{00000000-0006-0000-0500-000007000000}">
      <text>
        <r>
          <rPr>
            <b/>
            <sz val="9"/>
            <color indexed="81"/>
            <rFont val="Tahoma"/>
            <family val="2"/>
          </rPr>
          <t xml:space="preserve">Khomgrish Dulyasit-GPSC:
</t>
        </r>
        <r>
          <rPr>
            <sz val="9"/>
            <color indexed="81"/>
            <rFont val="Tahoma"/>
            <family val="2"/>
          </rPr>
          <t>Shift 7 persons
OC1M 1 person
OCV 1 person
MTN Manager 1 person
MTN Engineer 3 persons</t>
        </r>
      </text>
    </comment>
    <comment ref="O15" authorId="2" shapeId="0" xr:uid="{00000000-0006-0000-0500-00000A000000}">
      <text>
        <r>
          <rPr>
            <sz val="11"/>
            <color theme="1"/>
            <rFont val="Calibri"/>
            <family val="2"/>
            <charset val="222"/>
            <scheme val="minor"/>
          </rPr>
          <t>Khomgrish Dulyasit-GPSC:
PTTAC = 80 t/h
CUP3 = 140 t/h (CP.280-Load.100-Min. Aux. 40)
CUP4 = 140 t/h
I1      = 50 t/h
Total PTTAC+3+4+I1 = 410 t/h
Total load = 600 t/h
(410/600)*100 = 68 %</t>
        </r>
      </text>
    </comment>
    <comment ref="Q15" authorId="2" shapeId="0" xr:uid="{F25154A5-8E58-4DB0-9F09-2A44135EBEB9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Shift 7 persons
OC1M 1 person
OCV 1 person
MTN Manager 1 person
MTN Engineer 3 persons</t>
        </r>
      </text>
    </comment>
    <comment ref="R15" authorId="2" shapeId="0" xr:uid="{4CC0AFEE-89FF-4D3E-9728-C02F70B7D718}">
      <text>
        <r>
          <rPr>
            <b/>
            <sz val="9"/>
            <color indexed="81"/>
            <rFont val="Tahoma"/>
            <family val="2"/>
          </rPr>
          <t xml:space="preserve">Khomgrish Dulyasit-GPSC:
</t>
        </r>
        <r>
          <rPr>
            <sz val="9"/>
            <color indexed="81"/>
            <rFont val="Tahoma"/>
            <family val="2"/>
          </rPr>
          <t>Shift 7 persons
OC1M 1 person
OCV 1 person
MTN Manager 1 person
MTN Engineer 3 persons</t>
        </r>
      </text>
    </comment>
    <comment ref="O22" authorId="2" shapeId="0" xr:uid="{00000000-0006-0000-0500-00000F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CUP1 = 720 m3/h
WHA = 350 m3/h
Load Customer = 430 m3/h
Supply &gt; load = 100 %</t>
        </r>
      </text>
    </comment>
    <comment ref="Q22" authorId="2" shapeId="0" xr:uid="{CE6273C4-80DF-4244-8B70-AA3D3FF6F0B1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Shift 7 persons
OC1M 1 person
OCV 1 person
MTN Manager 1 person
MTN Engineer 3 persons</t>
        </r>
      </text>
    </comment>
    <comment ref="R22" authorId="2" shapeId="0" xr:uid="{1E369800-1D75-4CEB-8305-222F3EB03EC0}">
      <text>
        <r>
          <rPr>
            <b/>
            <sz val="9"/>
            <color indexed="81"/>
            <rFont val="Tahoma"/>
            <family val="2"/>
          </rPr>
          <t xml:space="preserve">Khomgrish Dulyasit-GPSC:
</t>
        </r>
        <r>
          <rPr>
            <sz val="9"/>
            <color indexed="81"/>
            <rFont val="Tahoma"/>
            <family val="2"/>
          </rPr>
          <t>Shift 7 persons
OC1M 1 person
OCV 1 person
MTN Manager 1 person
MTN Engineer 3 persons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DUTHARUTHAI  NAPOMBEJARA</author>
    <author>Raymond Ee</author>
    <author>Khomgrish Dulyasit-GPSC</author>
    <author>Kraison Sawatthaisong-GPSC</author>
  </authors>
  <commentList>
    <comment ref="C6" authorId="0" shapeId="0" xr:uid="{00000000-0006-0000-0700-000001000000}">
      <text>
        <r>
          <rPr>
            <b/>
            <sz val="8"/>
            <color indexed="81"/>
            <rFont val="BrowalliaUPC"/>
            <family val="2"/>
          </rPr>
          <t>ระดับความรุนแรง
1.ไม่มีผลกระทบ
2.ความไม่สะดวกบางอย่างเกิดขึ้น: แต่ไม่มีผลเสียในระยะสั้นหรือระยะยาว
3.ความไม่สะดวกที่เกิดขึ้น: จะส่งผลกระทบในระยะสั้น แต่ไม่มีความเสียหายในระยะยาว
4.ความเสียหายที่อาจเกิดขึ้นอย่างร้ายแรงในระยะยาว: การฝ่าฝืนกฎหมายว่าด้วยหนังสือบริคณห์สนธิหรือกฎหมายอื่นๆ และจะกลายเป็นภัยพิบัติ
5.ความเสียหายต่อองค์กรที่ไม่สามารถแก้ไขได้</t>
        </r>
      </text>
    </comment>
    <comment ref="N6" authorId="1" shapeId="0" xr:uid="{00000000-0006-0000-0700-000002000000}">
      <text>
        <r>
          <rPr>
            <b/>
            <sz val="9"/>
            <color indexed="81"/>
            <rFont val="BrowalliaUPC"/>
            <family val="2"/>
          </rPr>
          <t>MTPD = Time taken for adverse impacts, which might arise due to not providing a product/service or performing an activity, to become unacceptable.</t>
        </r>
        <r>
          <rPr>
            <sz val="9"/>
            <color indexed="81"/>
            <rFont val="BrowalliaUPC"/>
            <family val="2"/>
          </rPr>
          <t xml:space="preserve">
ช่วงเวลานานที่สุดที่ธุรกิจหยุดชะงัก หากเกินกำหนดช่วงเวลานี้แล้วจะส่งผลให้เกิดความเสียหายต่อบริษัทฯ ในระดับที่ยอมรับไม่ได้</t>
        </r>
      </text>
    </comment>
    <comment ref="O6" authorId="1" shapeId="0" xr:uid="{00000000-0006-0000-0700-000003000000}">
      <text>
        <r>
          <rPr>
            <sz val="11"/>
            <color indexed="81"/>
            <rFont val="BrowalliaUPC"/>
            <family val="2"/>
          </rPr>
          <t>ระยะเวลาเป้าหมายที่ใช้ในการดำเนินการเพื่อให้การส่งมอบผลิตภัณฑ์ บริการ และกิจกรรมหรือกระบวนการกลับสู่สภาวะปกติหลังจากเกิดการหยุดชะงัก</t>
        </r>
      </text>
    </comment>
    <comment ref="P6" authorId="1" shapeId="0" xr:uid="{00000000-0006-0000-0700-000004000000}">
      <text>
        <r>
          <rPr>
            <b/>
            <sz val="9"/>
            <color indexed="81"/>
            <rFont val="BrowalliaUPC"/>
            <family val="2"/>
          </rPr>
          <t>Recovery Time Objective. The period of time following an incident within which product or service must be resumed, or activity must be resumed, or resources must be recovered.
ระดับต่ำสุดของการบริการ และ/หรือ ผลิตภัณฑ์ที่องค์กรยอมรับ โดยยังคงสามารถบรรลุวัตถุประสงค์ทางธุรกิจในระหว่างเกิดการหยุดชะงัก</t>
        </r>
      </text>
    </comment>
    <comment ref="N14" authorId="2" shapeId="0" xr:uid="{00000000-0006-0000-0700-000005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24 ชม</t>
        </r>
      </text>
    </comment>
    <comment ref="O14" authorId="2" shapeId="0" xr:uid="{00000000-0006-0000-0700-000006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1 ชม</t>
        </r>
      </text>
    </comment>
    <comment ref="N15" authorId="2" shapeId="0" xr:uid="{00000000-0006-0000-0700-000007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24 ชม</t>
        </r>
      </text>
    </comment>
    <comment ref="O15" authorId="2" shapeId="0" xr:uid="{00000000-0006-0000-0700-000008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12 ชม</t>
        </r>
      </text>
    </comment>
    <comment ref="N16" authorId="2" shapeId="0" xr:uid="{00000000-0006-0000-0700-000009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24 ชม</t>
        </r>
      </text>
    </comment>
    <comment ref="O16" authorId="2" shapeId="0" xr:uid="{00000000-0006-0000-0700-00000A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1 ชม</t>
        </r>
      </text>
    </comment>
    <comment ref="N17" authorId="2" shapeId="0" xr:uid="{00000000-0006-0000-0700-00000B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24 ชม</t>
        </r>
      </text>
    </comment>
    <comment ref="O17" authorId="2" shapeId="0" xr:uid="{00000000-0006-0000-0700-00000C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1 ชม</t>
        </r>
      </text>
    </comment>
    <comment ref="N18" authorId="2" shapeId="0" xr:uid="{00000000-0006-0000-0700-00000D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24 ชม</t>
        </r>
      </text>
    </comment>
    <comment ref="O18" authorId="2" shapeId="0" xr:uid="{00000000-0006-0000-0700-00000E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1 ชม</t>
        </r>
      </text>
    </comment>
    <comment ref="N19" authorId="2" shapeId="0" xr:uid="{00000000-0006-0000-0700-00000F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24 ชม</t>
        </r>
      </text>
    </comment>
    <comment ref="O19" authorId="2" shapeId="0" xr:uid="{00000000-0006-0000-0700-000010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1 ชม</t>
        </r>
      </text>
    </comment>
    <comment ref="O20" authorId="3" shapeId="0" xr:uid="{00000000-0006-0000-0700-000011000000}">
      <text>
        <r>
          <rPr>
            <b/>
            <sz val="9"/>
            <color indexed="81"/>
            <rFont val="Tahoma"/>
            <family val="2"/>
          </rPr>
          <t>Kraison Sawatthaisong-GPSC:</t>
        </r>
        <r>
          <rPr>
            <sz val="9"/>
            <color indexed="81"/>
            <rFont val="Tahoma"/>
            <family val="2"/>
          </rPr>
          <t xml:space="preserve">
ซ่อมตามกระบวนการ OMM</t>
        </r>
      </text>
    </comment>
    <comment ref="N21" authorId="2" shapeId="0" xr:uid="{00000000-0006-0000-0700-000012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4 วัน</t>
        </r>
      </text>
    </comment>
    <comment ref="N22" authorId="2" shapeId="0" xr:uid="{00000000-0006-0000-0700-000013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24 ชม</t>
        </r>
      </text>
    </comment>
    <comment ref="O22" authorId="2" shapeId="0" xr:uid="{00000000-0006-0000-0700-000014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24 ชม</t>
        </r>
      </text>
    </comment>
    <comment ref="N23" authorId="2" shapeId="0" xr:uid="{00000000-0006-0000-0700-000015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24 ชม</t>
        </r>
      </text>
    </comment>
    <comment ref="O23" authorId="2" shapeId="0" xr:uid="{00000000-0006-0000-0700-000016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1 ช.ม.</t>
        </r>
      </text>
    </comment>
    <comment ref="N24" authorId="2" shapeId="0" xr:uid="{00000000-0006-0000-0700-000017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24 ชม</t>
        </r>
      </text>
    </comment>
    <comment ref="O24" authorId="2" shapeId="0" xr:uid="{00000000-0006-0000-0700-000018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1 ชม</t>
        </r>
      </text>
    </comment>
    <comment ref="N25" authorId="2" shapeId="0" xr:uid="{00000000-0006-0000-0700-000019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30 วัน</t>
        </r>
      </text>
    </comment>
    <comment ref="N26" authorId="2" shapeId="0" xr:uid="{00000000-0006-0000-0700-00001A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24 ชม</t>
        </r>
      </text>
    </comment>
    <comment ref="O26" authorId="2" shapeId="0" xr:uid="{00000000-0006-0000-0700-00001B000000}">
      <text>
        <r>
          <rPr>
            <b/>
            <sz val="9"/>
            <color indexed="81"/>
            <rFont val="Tahoma"/>
            <family val="2"/>
          </rPr>
          <t>Khomgrish Dulyasit-GPSC:</t>
        </r>
        <r>
          <rPr>
            <sz val="9"/>
            <color indexed="81"/>
            <rFont val="Tahoma"/>
            <family val="2"/>
          </rPr>
          <t xml:space="preserve">
ของเดิม 4 ชม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DUTHARUTHAI  NAPOMBEJARA</author>
    <author>Raymond Ee</author>
  </authors>
  <commentList>
    <comment ref="C6" authorId="0" shapeId="0" xr:uid="{00000000-0006-0000-0C00-000001000000}">
      <text>
        <r>
          <rPr>
            <b/>
            <sz val="8"/>
            <color indexed="81"/>
            <rFont val="BrowalliaUPC"/>
            <family val="2"/>
          </rPr>
          <t>ระดับความรุนแรง
1.ไม่มีผลกระทบ
2.ความไม่สะดวกบางอย่างเกิดขึ้น: แต่ไม่มีผลเสียในระยะสั้นหรือระยะยาว
3.ความไม่สะดวกที่เกิดขึ้น: จะส่งผลกระทบในระยะสั้น แต่ไม่มีความเสียหายในระยะยาว
4.ความเสียหายที่อาจเกิดขึ้นอย่างร้ายแรงในระยะยาว: การฝ่าฝืนกฎหมายว่าด้วยหนังสือบริคณห์สนธิหรือกฎหมายอื่นๆ และจะกลายเป็นภัยพิบัติ
5.ความเสียหายต่อองค์กรที่ไม่สามารถแก้ไขได้</t>
        </r>
      </text>
    </comment>
    <comment ref="N6" authorId="1" shapeId="0" xr:uid="{00000000-0006-0000-0C00-000002000000}">
      <text>
        <r>
          <rPr>
            <b/>
            <sz val="9"/>
            <color indexed="81"/>
            <rFont val="BrowalliaUPC"/>
            <family val="2"/>
          </rPr>
          <t>MTPD = Time taken for adverse impacts, which might arise due to not providing a product/service or performing an activity, to become unacceptable.</t>
        </r>
        <r>
          <rPr>
            <sz val="9"/>
            <color indexed="81"/>
            <rFont val="BrowalliaUPC"/>
            <family val="2"/>
          </rPr>
          <t xml:space="preserve">
ช่วงเวลานานที่สุดที่ธุรกิจหยุดชะงัก หากเกินกำหนดช่วงเวลานี้แล้วจะส่งผลให้เกิดความเสียหายต่อบริษัทฯ ในระดับที่ยอมรับไม่ได้</t>
        </r>
      </text>
    </comment>
    <comment ref="O6" authorId="1" shapeId="0" xr:uid="{00000000-0006-0000-0C00-000003000000}">
      <text>
        <r>
          <rPr>
            <sz val="11"/>
            <color indexed="81"/>
            <rFont val="BrowalliaUPC"/>
            <family val="2"/>
          </rPr>
          <t>ระยะเวลาเป้าหมายที่ใช้ในการดำเนินการเพื่อให้การส่งมอบผลิตภัณฑ์ บริการ และกิจกรรมหรือกระบวนการกลับสู่สภาวะปกติหลังจากเกิดการหยุดชะงัก</t>
        </r>
      </text>
    </comment>
    <comment ref="P6" authorId="1" shapeId="0" xr:uid="{00000000-0006-0000-0C00-000004000000}">
      <text>
        <r>
          <rPr>
            <b/>
            <sz val="9"/>
            <color indexed="81"/>
            <rFont val="BrowalliaUPC"/>
            <family val="2"/>
          </rPr>
          <t>Recovery Time Objective. The period of time following an incident within which product or service must be resumed, or activity must be resumed, or resources must be recovered.
ระดับต่ำสุดของการบริการ และ/หรือ ผลิตภัณฑ์ที่องค์กรยอมรับ โดยยังคงสามารถบรรลุวัตถุประสงค์ทางธุรกิจในระหว่างเกิดการหยุดชะงัก</t>
        </r>
      </text>
    </comment>
  </commentList>
</comments>
</file>

<file path=xl/sharedStrings.xml><?xml version="1.0" encoding="utf-8"?>
<sst xmlns="http://schemas.openxmlformats.org/spreadsheetml/2006/main" count="18436" uniqueCount="5025">
  <si>
    <t/>
  </si>
  <si>
    <t>2020</t>
  </si>
  <si>
    <t>23560036</t>
  </si>
  <si>
    <t>น.ส.</t>
  </si>
  <si>
    <t>ทิชากร</t>
  </si>
  <si>
    <t>ศรีจำปา</t>
  </si>
  <si>
    <t>Miss  Tichakorn  Srichampa</t>
  </si>
  <si>
    <t xml:space="preserve"> Administration Officer</t>
  </si>
  <si>
    <t xml:space="preserve"> พนักงานบริหารงาน</t>
  </si>
  <si>
    <t>AFM</t>
  </si>
  <si>
    <t>ส่วนกลยุทธ์และบริหารทรัพยากรอาคารฯ</t>
  </si>
  <si>
    <t>ฝ่ายบริหารทรัพยากรอาคาร</t>
  </si>
  <si>
    <t>สายงานประธานเจ้าหน้าที่ปฏิบัติการ</t>
  </si>
  <si>
    <t>ปธบ.และกรรมการผู้จัดการใหญ่</t>
  </si>
  <si>
    <t>GPSC Rayong</t>
  </si>
  <si>
    <t>GPSC RYG : CUP-2</t>
  </si>
  <si>
    <t>GPSC CUP2-F</t>
  </si>
  <si>
    <t>FLEXIBLE2</t>
  </si>
  <si>
    <t>Female</t>
  </si>
  <si>
    <t>0897494028</t>
  </si>
  <si>
    <t>23560043</t>
  </si>
  <si>
    <t>บงกช</t>
  </si>
  <si>
    <t>ยุทธวิสุทธิ</t>
  </si>
  <si>
    <t>Miss  Bongkot  Yootawisuti</t>
  </si>
  <si>
    <t xml:space="preserve"> Senior Administration Officer</t>
  </si>
  <si>
    <t xml:space="preserve"> พนักงานบริหารงานอาวุโส</t>
  </si>
  <si>
    <t>23560092</t>
  </si>
  <si>
    <t>นาย</t>
  </si>
  <si>
    <t>ภาณุ</t>
  </si>
  <si>
    <t>โพธิกุล</t>
  </si>
  <si>
    <t>Mr.  Panu  Potikul</t>
  </si>
  <si>
    <t xml:space="preserve"> Facility Management Strategy and Site General Services Division Manager</t>
  </si>
  <si>
    <t xml:space="preserve"> ผู้จัดการส่วนกลยุทธ์และบริหารทรัพยากรอาคารพื้นที่ปฏิบัติการ</t>
  </si>
  <si>
    <t>GPSC Bangkok</t>
  </si>
  <si>
    <t>GPSC HO-F</t>
  </si>
  <si>
    <t>Male</t>
  </si>
  <si>
    <t>23560177</t>
  </si>
  <si>
    <t>จามจุรี</t>
  </si>
  <si>
    <t>เกษรสวัสดิ์</t>
  </si>
  <si>
    <t>Miss  Jamjuree  Kasonsavad</t>
  </si>
  <si>
    <t>23560197</t>
  </si>
  <si>
    <t>ณรงค์ชัย</t>
  </si>
  <si>
    <t>พรหมเดชวัฒนา</t>
  </si>
  <si>
    <t>Mr.  Narongchai  Promdetwattana</t>
  </si>
  <si>
    <t>0905492561</t>
  </si>
  <si>
    <t>23630027</t>
  </si>
  <si>
    <t>นาง</t>
  </si>
  <si>
    <t>อุษิตตา</t>
  </si>
  <si>
    <t>มาลย์มาศภาณุ</t>
  </si>
  <si>
    <t>Mrs.  Usitta  Marlmaspanu</t>
  </si>
  <si>
    <t xml:space="preserve"> Site General Administration Manager</t>
  </si>
  <si>
    <t xml:space="preserve"> ผู้จัดการบริหารสำนักงานพื้นที่ปฏิบัติการ</t>
  </si>
  <si>
    <t>GPSC RYG : SPP2/3</t>
  </si>
  <si>
    <t>GPSC SPP2/3-F</t>
  </si>
  <si>
    <t>089-2059179</t>
  </si>
  <si>
    <t>23630050</t>
  </si>
  <si>
    <t>บุญชนะ</t>
  </si>
  <si>
    <t>อินทรโชติ</t>
  </si>
  <si>
    <t>Mr.  Boonchana  Intarachote</t>
  </si>
  <si>
    <t>23630114</t>
  </si>
  <si>
    <t>พิมลพรรณ</t>
  </si>
  <si>
    <t>สุวรรณรัตน์</t>
  </si>
  <si>
    <t>Mrs.  Pimonparn  Suwannarat</t>
  </si>
  <si>
    <t>23630203</t>
  </si>
  <si>
    <t>พาฝัน</t>
  </si>
  <si>
    <t>ผลดี</t>
  </si>
  <si>
    <t>Miss  Pafhan  Pholdee</t>
  </si>
  <si>
    <t>23630300</t>
  </si>
  <si>
    <t>วรัญญา</t>
  </si>
  <si>
    <t>มังสังคำ</t>
  </si>
  <si>
    <t>Miss  Waranya  Mangsangkam</t>
  </si>
  <si>
    <t>23630301</t>
  </si>
  <si>
    <t>ธนาธร</t>
  </si>
  <si>
    <t>ก่ำแก้ว</t>
  </si>
  <si>
    <t>Mr.  Thanathorn  Kamkaew</t>
  </si>
  <si>
    <t>23630142</t>
  </si>
  <si>
    <t>มัณทนา</t>
  </si>
  <si>
    <t>คุณากร</t>
  </si>
  <si>
    <t>Mrs.  Mantana  Kunakorn</t>
  </si>
  <si>
    <t xml:space="preserve"> Senior Vice President Group Facility Management</t>
  </si>
  <si>
    <t xml:space="preserve"> ผู้จัดการฝ่ายอาวุโสบริหารทรัพยากรอาคาร</t>
  </si>
  <si>
    <t>AFS</t>
  </si>
  <si>
    <t>บริษัท ปตท. จำกัด (มหาชน)</t>
  </si>
  <si>
    <t>GPSC BKK : Empire Tower - 38th floor</t>
  </si>
  <si>
    <t>FLEXIBLE4</t>
  </si>
  <si>
    <t>089-2057073</t>
  </si>
  <si>
    <t>23630033</t>
  </si>
  <si>
    <t>บัวลอย</t>
  </si>
  <si>
    <t>เคียนขุนทด</t>
  </si>
  <si>
    <t>Mrs.  Bualoi  Kienkhuntod</t>
  </si>
  <si>
    <t xml:space="preserve"> Maid</t>
  </si>
  <si>
    <t xml:space="preserve"> แม่บ้าน</t>
  </si>
  <si>
    <t>AGT</t>
  </si>
  <si>
    <t>แผนกบริหารสำนักงานและบริหารงานทั่วไป</t>
  </si>
  <si>
    <t>23630039</t>
  </si>
  <si>
    <t>พรทิพย์</t>
  </si>
  <si>
    <t>ชุมนุม</t>
  </si>
  <si>
    <t>Mrs.  Porntip  Chumnum</t>
  </si>
  <si>
    <t>081-3758406</t>
  </si>
  <si>
    <t>23630048</t>
  </si>
  <si>
    <t>ไชยา</t>
  </si>
  <si>
    <t>จันทร์คง</t>
  </si>
  <si>
    <t>Mr.  Chaiya  Chankong</t>
  </si>
  <si>
    <t xml:space="preserve"> Driver</t>
  </si>
  <si>
    <t xml:space="preserve"> พนักงานขับรถ</t>
  </si>
  <si>
    <t>23630049</t>
  </si>
  <si>
    <t>วงเดือน</t>
  </si>
  <si>
    <t>จันปัญญา</t>
  </si>
  <si>
    <t>Mrs.  Wongduen  Junpunya</t>
  </si>
  <si>
    <t>23630127</t>
  </si>
  <si>
    <t>วิเชียร</t>
  </si>
  <si>
    <t>ปู่เจ๊ก</t>
  </si>
  <si>
    <t>Mr.  Wichein  Pujek</t>
  </si>
  <si>
    <t>23630132</t>
  </si>
  <si>
    <t>นงลักษณ์</t>
  </si>
  <si>
    <t>ชิตมณี</t>
  </si>
  <si>
    <t>Miss  Nonglak  Chitmanee</t>
  </si>
  <si>
    <t>085-6605019</t>
  </si>
  <si>
    <t>23630159</t>
  </si>
  <si>
    <t>สุรศักดิ์</t>
  </si>
  <si>
    <t>สูญสิ้นภัย</t>
  </si>
  <si>
    <t>Mr.  Surasak  Soonsinpai</t>
  </si>
  <si>
    <t>23630160</t>
  </si>
  <si>
    <t>ธวัช</t>
  </si>
  <si>
    <t>ภูมิสัทธรรม</t>
  </si>
  <si>
    <t>Mr.  Thawat  Phumisatthatham</t>
  </si>
  <si>
    <t>23630171</t>
  </si>
  <si>
    <t>ขาว</t>
  </si>
  <si>
    <t>ไชยวงค์สาย</t>
  </si>
  <si>
    <t>Mr.  Khao  Chaiwongsai</t>
  </si>
  <si>
    <t>23630238</t>
  </si>
  <si>
    <t>ณัฐธดา</t>
  </si>
  <si>
    <t>ธนอัศวกุล</t>
  </si>
  <si>
    <t>Miss  Natthada  Thana-assavakul</t>
  </si>
  <si>
    <t xml:space="preserve"> Office Management and General Services Section Manager</t>
  </si>
  <si>
    <t xml:space="preserve"> ผู้จัดการแผนกบริหารสำนักงานและบริหารงานทั่วไป</t>
  </si>
  <si>
    <t>084-4390076</t>
  </si>
  <si>
    <t>23630243</t>
  </si>
  <si>
    <t>ธีรวัฒน์</t>
  </si>
  <si>
    <t>จิรวัฒโนบล</t>
  </si>
  <si>
    <t>Mr.  Teerawat  Jirawatnobon</t>
  </si>
  <si>
    <t>23630340</t>
  </si>
  <si>
    <t>ธันวา</t>
  </si>
  <si>
    <t>ทองคงแก้ว</t>
  </si>
  <si>
    <t>Mr.  Thanwa  Thongkongkaew</t>
  </si>
  <si>
    <t>23630023</t>
  </si>
  <si>
    <t>บุญเลิศ</t>
  </si>
  <si>
    <t>เพ็ชรผุดผ่อง</t>
  </si>
  <si>
    <t>Mr.  Boonlert  Petputpong</t>
  </si>
  <si>
    <t>GPSC Chonburi</t>
  </si>
  <si>
    <t>GPSC CBI : GIPP</t>
  </si>
  <si>
    <t>GPSC GIPP-F</t>
  </si>
  <si>
    <t>23630064</t>
  </si>
  <si>
    <t>ศราวุธ</t>
  </si>
  <si>
    <t>ชื่นบาน</t>
  </si>
  <si>
    <t>Mr.  Sarawut  Choenban</t>
  </si>
  <si>
    <t>GPSC RYG : SPP11</t>
  </si>
  <si>
    <t>23630024</t>
  </si>
  <si>
    <t>มาโนช</t>
  </si>
  <si>
    <t>พูลเล็ก</t>
  </si>
  <si>
    <t>Mr.  Manoch  Poollake</t>
  </si>
  <si>
    <t>23630091</t>
  </si>
  <si>
    <t>คำมี</t>
  </si>
  <si>
    <t>อันทปัญญา</t>
  </si>
  <si>
    <t>Mr.  Kammee  Anthapanya</t>
  </si>
  <si>
    <t>23630128</t>
  </si>
  <si>
    <t>ประนุ</t>
  </si>
  <si>
    <t>เทินเกษม</t>
  </si>
  <si>
    <t>Mr.  Pranu  Terngasem</t>
  </si>
  <si>
    <t>23630169</t>
  </si>
  <si>
    <t>ประเดิมชัย</t>
  </si>
  <si>
    <t>โด่งดัง</t>
  </si>
  <si>
    <t>Mr.  Pradermchai  Dongdang</t>
  </si>
  <si>
    <t>23630170</t>
  </si>
  <si>
    <t>ชำนาญ</t>
  </si>
  <si>
    <t>บัวนาค</t>
  </si>
  <si>
    <t>Mr.  Chumnan  Buanak</t>
  </si>
  <si>
    <t>23630226</t>
  </si>
  <si>
    <t>อานนท์</t>
  </si>
  <si>
    <t>อินศร</t>
  </si>
  <si>
    <t>Mr.  Anon  Insorn</t>
  </si>
  <si>
    <t>23630368</t>
  </si>
  <si>
    <t>ตรีชฎา</t>
  </si>
  <si>
    <t>กิ่งป้อง</t>
  </si>
  <si>
    <t>Miss  Trechada  Kingpong</t>
  </si>
  <si>
    <t xml:space="preserve"> Receptionist</t>
  </si>
  <si>
    <t xml:space="preserve"> พนักงานต้อนรับ</t>
  </si>
  <si>
    <t>23630415</t>
  </si>
  <si>
    <t>รวิสรา</t>
  </si>
  <si>
    <t>รุ่งโรจน์</t>
  </si>
  <si>
    <t>Miss  Rawisara  Rungrot</t>
  </si>
  <si>
    <t>23620052</t>
  </si>
  <si>
    <t>รสยา</t>
  </si>
  <si>
    <t>เธียรวรรณ</t>
  </si>
  <si>
    <t>Mrs.  Rosaya  Teinwan</t>
  </si>
  <si>
    <t xml:space="preserve"> Executive Vice President - Business Development</t>
  </si>
  <si>
    <t xml:space="preserve"> รองกรรมการผู้จัดการใหญ่พัฒนาธุรกิจ</t>
  </si>
  <si>
    <t>BDE</t>
  </si>
  <si>
    <t>GPSC BKK : EnCo B - 18th floor</t>
  </si>
  <si>
    <t>23630467</t>
  </si>
  <si>
    <t>อัสนา</t>
  </si>
  <si>
    <t>มั่นปกป้อง</t>
  </si>
  <si>
    <t>Miss  Atsana  Monpokpong</t>
  </si>
  <si>
    <t xml:space="preserve"> Secretary</t>
  </si>
  <si>
    <t xml:space="preserve"> เลขานุการ</t>
  </si>
  <si>
    <t>FLEXIBLE1</t>
  </si>
  <si>
    <t>23600027</t>
  </si>
  <si>
    <t>กฤตภาส</t>
  </si>
  <si>
    <t>วารี</t>
  </si>
  <si>
    <t>Mr.  Krittaphat  Waree</t>
  </si>
  <si>
    <t xml:space="preserve"> Senior Engineer</t>
  </si>
  <si>
    <t xml:space="preserve"> วิศวกรอาวุโส</t>
  </si>
  <si>
    <t>BFS</t>
  </si>
  <si>
    <t>สายงานรองกผญ.พัฒนาธุรกิจ</t>
  </si>
  <si>
    <t>GPSC BKK : EnCo B - 5th floor</t>
  </si>
  <si>
    <t>0979188063</t>
  </si>
  <si>
    <t>23600037</t>
  </si>
  <si>
    <t>พิมพ์นภัส</t>
  </si>
  <si>
    <t>อุตมชาติวัฒน์</t>
  </si>
  <si>
    <t>Miss  Phimnaphat  Utamachatiwat</t>
  </si>
  <si>
    <t xml:space="preserve"> Division Manager</t>
  </si>
  <si>
    <t xml:space="preserve"> ผู้จัดการส่วน</t>
  </si>
  <si>
    <t>23630013</t>
  </si>
  <si>
    <t>นนทวรรณ</t>
  </si>
  <si>
    <t>อำนวยมัจฉา</t>
  </si>
  <si>
    <t>Miss  Nontawan  Amnuaymucha</t>
  </si>
  <si>
    <t xml:space="preserve"> Engineer</t>
  </si>
  <si>
    <t xml:space="preserve"> วิศวกร</t>
  </si>
  <si>
    <t>23630466</t>
  </si>
  <si>
    <t>ปัณณวิชญ์</t>
  </si>
  <si>
    <t>เพี้ยนภักตร์</t>
  </si>
  <si>
    <t>Mr.  Punnavich  Pianpucktr</t>
  </si>
  <si>
    <t xml:space="preserve"> Project Director of Flash</t>
  </si>
  <si>
    <t xml:space="preserve"> ผู้อำนวยการโครงการแฟลช</t>
  </si>
  <si>
    <t>23560200</t>
  </si>
  <si>
    <t>กรกฤษณ์</t>
  </si>
  <si>
    <t>จันทรวิสุทธิ์</t>
  </si>
  <si>
    <t>Mr.  Korrakid  Chantharawisud</t>
  </si>
  <si>
    <t>GPSC RYG : Energy Storage Factory</t>
  </si>
  <si>
    <t>0894664949</t>
  </si>
  <si>
    <t>23610010</t>
  </si>
  <si>
    <t>วารุณี</t>
  </si>
  <si>
    <t>เลื่องชัยเชวง</t>
  </si>
  <si>
    <t>Miss  Warunee  Lueangchaichaweng</t>
  </si>
  <si>
    <t>094-9139401</t>
  </si>
  <si>
    <t>23610014</t>
  </si>
  <si>
    <t>อภิสิทธิ</t>
  </si>
  <si>
    <t>อรุณนวล</t>
  </si>
  <si>
    <t>Mr.  Apisit  Aroonnual</t>
  </si>
  <si>
    <t>0898912950</t>
  </si>
  <si>
    <t>23630496</t>
  </si>
  <si>
    <t>นิพล</t>
  </si>
  <si>
    <t>วรรณะ</t>
  </si>
  <si>
    <t>Mr.  Niphol  Wanna</t>
  </si>
  <si>
    <t xml:space="preserve"> Technical Director</t>
  </si>
  <si>
    <t>081-8648738</t>
  </si>
  <si>
    <t>23560225</t>
  </si>
  <si>
    <t>มังกรกาญจน์</t>
  </si>
  <si>
    <t>Mr.  Parnu  Mongkornkarn</t>
  </si>
  <si>
    <t xml:space="preserve"> Business Development Division Manager</t>
  </si>
  <si>
    <t xml:space="preserve"> ผู้จัดการส่วนพัฒนาธุรกิจ</t>
  </si>
  <si>
    <t>BIV</t>
  </si>
  <si>
    <t>หน่วยพัฒนาธุรกิจต่างประเทศ</t>
  </si>
  <si>
    <t>23560226</t>
  </si>
  <si>
    <t>ณพงศ์</t>
  </si>
  <si>
    <t>ธนาธรรมธร</t>
  </si>
  <si>
    <t>Mr.  Napong  Tanatammatorn</t>
  </si>
  <si>
    <t>+6689249882</t>
  </si>
  <si>
    <t>23580010</t>
  </si>
  <si>
    <t>พหล</t>
  </si>
  <si>
    <t>เฉลยกิตติ</t>
  </si>
  <si>
    <t>Mr.  Pahol  Chaloeykitti</t>
  </si>
  <si>
    <t xml:space="preserve"> Business Development Officer</t>
  </si>
  <si>
    <t xml:space="preserve"> พนักงานพัฒนาธุรกิจ</t>
  </si>
  <si>
    <t>23580013</t>
  </si>
  <si>
    <t>สืบตระกูล</t>
  </si>
  <si>
    <t>คอวินิจ</t>
  </si>
  <si>
    <t>Mr.  Suabtragool  Khowinij</t>
  </si>
  <si>
    <t>0894995498</t>
  </si>
  <si>
    <t>23590031</t>
  </si>
  <si>
    <t>ณัฐชา</t>
  </si>
  <si>
    <t>ตู้จินดา</t>
  </si>
  <si>
    <t>Miss  Natchar  Tuchinda</t>
  </si>
  <si>
    <t>23600024</t>
  </si>
  <si>
    <t>อธิป</t>
  </si>
  <si>
    <t>ตันติวรวงศ์</t>
  </si>
  <si>
    <t>Mr.  Athip  Tantivorawong</t>
  </si>
  <si>
    <t>23600035</t>
  </si>
  <si>
    <t>ประภาสักก์</t>
  </si>
  <si>
    <t>เจริญพร</t>
  </si>
  <si>
    <t>Mr.  Praphasak  Charoenporn</t>
  </si>
  <si>
    <t xml:space="preserve"> Business Development Manager</t>
  </si>
  <si>
    <t xml:space="preserve"> ผู้จัดการพัฒนาธุรกิจ</t>
  </si>
  <si>
    <t>23600036</t>
  </si>
  <si>
    <t>จิรัฐ</t>
  </si>
  <si>
    <t>เจตน์วราพงศ์</t>
  </si>
  <si>
    <t>Mr.  Jirat  Jetwarapong</t>
  </si>
  <si>
    <t>0814343717</t>
  </si>
  <si>
    <t>23630008</t>
  </si>
  <si>
    <t>พีรพล</t>
  </si>
  <si>
    <t>อำไพวิทย์</t>
  </si>
  <si>
    <t>Mr.  Perapol  Umpaivit</t>
  </si>
  <si>
    <t>23630012</t>
  </si>
  <si>
    <t>กิตตินันท์</t>
  </si>
  <si>
    <t>ชุติมาศ</t>
  </si>
  <si>
    <t>Mr.  Kittinan  Chutimas</t>
  </si>
  <si>
    <t>23630286</t>
  </si>
  <si>
    <t>บุษกร</t>
  </si>
  <si>
    <t>หงษ์สุวรรณ</t>
  </si>
  <si>
    <t>Miss  Busakorn  Hongsuwan</t>
  </si>
  <si>
    <t>23630478</t>
  </si>
  <si>
    <t>วิวัฒน์</t>
  </si>
  <si>
    <t>เตชะกิจขจร</t>
  </si>
  <si>
    <t>MR.  Wiwat  Techakijkachorn</t>
  </si>
  <si>
    <t>23630408</t>
  </si>
  <si>
    <t>นรเศรษฐ์</t>
  </si>
  <si>
    <t>ตระการกุลชร</t>
  </si>
  <si>
    <t>Mr.  Norasret  Trakarnkulchorn</t>
  </si>
  <si>
    <t>BNS</t>
  </si>
  <si>
    <t>061-4182200</t>
  </si>
  <si>
    <t>23630409</t>
  </si>
  <si>
    <t>ปิยวรรณ</t>
  </si>
  <si>
    <t>อยู่พรม</t>
  </si>
  <si>
    <t>Miss  Piyawan  Youprom</t>
  </si>
  <si>
    <t>098-2821370</t>
  </si>
  <si>
    <t>23580012</t>
  </si>
  <si>
    <t>กมลยศ</t>
  </si>
  <si>
    <t>ชัยรัตน์</t>
  </si>
  <si>
    <t>Mr.  Kamolyot  Chairatana</t>
  </si>
  <si>
    <t>23610001</t>
  </si>
  <si>
    <t>ลักษณะปรีชา</t>
  </si>
  <si>
    <t>ครุฑขุนทด</t>
  </si>
  <si>
    <t>Mr.  Laksanapreecha  Krutkuntode</t>
  </si>
  <si>
    <t xml:space="preserve"> Senior Vice President New Technology</t>
  </si>
  <si>
    <t xml:space="preserve"> ผู้จัดการฝ่ายอาวุโสนวัตกรรมและเทคโนโลยีพลังงาน</t>
  </si>
  <si>
    <t>0813713993</t>
  </si>
  <si>
    <t>23610015</t>
  </si>
  <si>
    <t>จีรวิชช์</t>
  </si>
  <si>
    <t>จิตถวิล</t>
  </si>
  <si>
    <t>Mr.  Jeerawit  Chittavil</t>
  </si>
  <si>
    <t>081-174-2998</t>
  </si>
  <si>
    <t>23610027</t>
  </si>
  <si>
    <t>สุทธิภูมิ</t>
  </si>
  <si>
    <t>พุ่มหิรัญ</t>
  </si>
  <si>
    <t>Mr.  Sudhibhumi  Pumhiran</t>
  </si>
  <si>
    <t>23630005</t>
  </si>
  <si>
    <t>พงศ์วสุ</t>
  </si>
  <si>
    <t>ศุขสุเมฆ</t>
  </si>
  <si>
    <t>Mr.  Pongwasu Suksumek</t>
  </si>
  <si>
    <t>23630007</t>
  </si>
  <si>
    <t>ภัทรวิทย์</t>
  </si>
  <si>
    <t>แซ่อ๋อง</t>
  </si>
  <si>
    <t>Mr.  Pattarawit  Sae-ong</t>
  </si>
  <si>
    <t>23630014</t>
  </si>
  <si>
    <t>สุทธิพล</t>
  </si>
  <si>
    <t>พฤกษะวัน</t>
  </si>
  <si>
    <t>Mr.  Sutthipol  Phrueksawan</t>
  </si>
  <si>
    <t>23630471</t>
  </si>
  <si>
    <t>พัฑฒิ</t>
  </si>
  <si>
    <t>บุณยสุขานนท์</t>
  </si>
  <si>
    <t>Mr.  Patti  Boonyasukanon</t>
  </si>
  <si>
    <t>23630487</t>
  </si>
  <si>
    <t>พชรวิทย์</t>
  </si>
  <si>
    <t>ผู้พัฒน์</t>
  </si>
  <si>
    <t>Mr.  Phocharavidh  Phuphatana</t>
  </si>
  <si>
    <t>23570014</t>
  </si>
  <si>
    <t>รพีรัตน์</t>
  </si>
  <si>
    <t>ศรีธิ</t>
  </si>
  <si>
    <t>Miss  Rapeerat  Srithi</t>
  </si>
  <si>
    <t>BOS</t>
  </si>
  <si>
    <t>23580030</t>
  </si>
  <si>
    <t>เพ็ญสินี</t>
  </si>
  <si>
    <t>จินดานุวัฒน์</t>
  </si>
  <si>
    <t>Miss  Pensinee  Jindanuwat</t>
  </si>
  <si>
    <t>23590023</t>
  </si>
  <si>
    <t>พิรนุช</t>
  </si>
  <si>
    <t>วิทยาโกมล</t>
  </si>
  <si>
    <t>Miss  Piranuj  Vithyakomol</t>
  </si>
  <si>
    <t>23630011</t>
  </si>
  <si>
    <t>จาตุรันต์</t>
  </si>
  <si>
    <t>ทองบุญส่ง</t>
  </si>
  <si>
    <t>Mr.  Jarturun  Thongboonsong</t>
  </si>
  <si>
    <t>23630472</t>
  </si>
  <si>
    <t>วัชรพงศ์</t>
  </si>
  <si>
    <t>อินทะเคหะ</t>
  </si>
  <si>
    <t>Mr.  Watcharapong  Indageha</t>
  </si>
  <si>
    <t>23560224</t>
  </si>
  <si>
    <t>ปัณญนาถ</t>
  </si>
  <si>
    <t>วิสูตร</t>
  </si>
  <si>
    <t>Miss  Panyanath  Visoot</t>
  </si>
  <si>
    <t>BTS</t>
  </si>
  <si>
    <t>GPSC BKK : CHPP</t>
  </si>
  <si>
    <t>0924983556</t>
  </si>
  <si>
    <t>23630435</t>
  </si>
  <si>
    <t>พรเพ็ญ</t>
  </si>
  <si>
    <t>จิตติวุฒินนท์</t>
  </si>
  <si>
    <t>Miss  Pornpen  Jittiwuttinon</t>
  </si>
  <si>
    <t>23630030</t>
  </si>
  <si>
    <t>นิตยา</t>
  </si>
  <si>
    <t>เนตรชลายุทธ</t>
  </si>
  <si>
    <t>Miss  Nitaya  Natechalayooth</t>
  </si>
  <si>
    <t xml:space="preserve"> IPP &amp; SPP Contract management Division Manager</t>
  </si>
  <si>
    <t xml:space="preserve"> ผู้จัดการส่วนบริหารสัญญาลูกค้า IPP &amp; SPP</t>
  </si>
  <si>
    <t>CCM</t>
  </si>
  <si>
    <t>ส่วนบริหารสัญญาลูกค้า IPP &amp; SPP</t>
  </si>
  <si>
    <t>ฝ่ายการพาณิชย์ กลุ่มลูกค้า GPSC บริหารฯ</t>
  </si>
  <si>
    <t>สายงานรองกผญ.การพาณิชย์</t>
  </si>
  <si>
    <t>089-9255886</t>
  </si>
  <si>
    <t>23630359</t>
  </si>
  <si>
    <t>ภัณฑิรา</t>
  </si>
  <si>
    <t>อิงคะสุวรรณ์</t>
  </si>
  <si>
    <t>Miss  Phantira  Inkasuwan</t>
  </si>
  <si>
    <t xml:space="preserve"> IPP &amp; SPP Contract Management Officer</t>
  </si>
  <si>
    <t xml:space="preserve"> พนักงานบริหารสัญญาลูกค้า IPP &amp; SPP</t>
  </si>
  <si>
    <t>23580002</t>
  </si>
  <si>
    <t>อิสรีย์</t>
  </si>
  <si>
    <t>แอกทอง</t>
  </si>
  <si>
    <t>Miss  Issaree  Agthong</t>
  </si>
  <si>
    <t xml:space="preserve"> Manager</t>
  </si>
  <si>
    <t xml:space="preserve"> ผู้จัดการ</t>
  </si>
  <si>
    <t>0615595365</t>
  </si>
  <si>
    <t>23630152</t>
  </si>
  <si>
    <t>ปีติพร</t>
  </si>
  <si>
    <t>วรวรรณ</t>
  </si>
  <si>
    <t>Miss  Peetiporn  Voravarn</t>
  </si>
  <si>
    <t xml:space="preserve"> Commercial Data Manager</t>
  </si>
  <si>
    <t xml:space="preserve"> ผู้จัดการ Commercial Data</t>
  </si>
  <si>
    <t>CDT</t>
  </si>
  <si>
    <t>โครงการวิเคราะห์ข้อมูลการพาณิชย์</t>
  </si>
  <si>
    <t>23630506</t>
  </si>
  <si>
    <t>ภัคสิรี</t>
  </si>
  <si>
    <t>หอระตะ</t>
  </si>
  <si>
    <t>Miss  Paksiree  Horata</t>
  </si>
  <si>
    <t xml:space="preserve"> Secretary CEO</t>
  </si>
  <si>
    <t xml:space="preserve"> เลขานุการ ประธานเจ้าหน้าที่บริหารและกรรมการผู้จัดการใหญ่</t>
  </si>
  <si>
    <t>CEO</t>
  </si>
  <si>
    <t>23640006</t>
  </si>
  <si>
    <t>ณัฏฐา</t>
  </si>
  <si>
    <t>ดนตรี</t>
  </si>
  <si>
    <t>Miss  Nattha  Dontree</t>
  </si>
  <si>
    <t xml:space="preserve"> ผู้จัดการส่วนโครงการบริหารกิจการพิเศษ</t>
  </si>
  <si>
    <t>23590001</t>
  </si>
  <si>
    <t>ดวงกมล</t>
  </si>
  <si>
    <t>เวชสุภาพร</t>
  </si>
  <si>
    <t>Mrs.  Duangkamol  Vejsupaporn</t>
  </si>
  <si>
    <t xml:space="preserve"> Senior Secretary</t>
  </si>
  <si>
    <t xml:space="preserve"> เลขานุการอาวุโส</t>
  </si>
  <si>
    <t>23630501</t>
  </si>
  <si>
    <t>วรวัฒน์</t>
  </si>
  <si>
    <t>พิทยศิริ</t>
  </si>
  <si>
    <t>Mr.  Worawat  Pitayasiri</t>
  </si>
  <si>
    <t xml:space="preserve"> President and Chief Executive Officer</t>
  </si>
  <si>
    <t xml:space="preserve"> ประธานเจ้าหน้าที่บริหารและกรรมการผู้จัดการใหญ่</t>
  </si>
  <si>
    <t>23640001</t>
  </si>
  <si>
    <t>ทิติพงษ์</t>
  </si>
  <si>
    <t>จุลพรศิริดี</t>
  </si>
  <si>
    <t>Mr.  Thitipong  Jurapornsiridee</t>
  </si>
  <si>
    <t xml:space="preserve"> Chief Financial Officer</t>
  </si>
  <si>
    <t xml:space="preserve"> ประธานเจ้าหน้าที่บริหารการเงิน</t>
  </si>
  <si>
    <t>CFO</t>
  </si>
  <si>
    <t>23630057</t>
  </si>
  <si>
    <t>ฉัฐมณฑน์</t>
  </si>
  <si>
    <t>กุลถาวรากร</t>
  </si>
  <si>
    <t>Miss  Chatamon  Kulthavarakorn</t>
  </si>
  <si>
    <t xml:space="preserve"> Manager of Chief Financial Officer</t>
  </si>
  <si>
    <t xml:space="preserve"> ผู้จัดการ ประจำประธานเจ้าหน้าที่บริหารการเงิน</t>
  </si>
  <si>
    <t>23630136</t>
  </si>
  <si>
    <t>ประภารัตน์</t>
  </si>
  <si>
    <t>นรานุวัฒน์</t>
  </si>
  <si>
    <t>Miss  Praparat  Naranuwat</t>
  </si>
  <si>
    <t>090-1987180</t>
  </si>
  <si>
    <t>23590014</t>
  </si>
  <si>
    <t>ร่มบุญ</t>
  </si>
  <si>
    <t>อุดมสิน</t>
  </si>
  <si>
    <t>Miss  Romboon  Udomsin</t>
  </si>
  <si>
    <t>23560122</t>
  </si>
  <si>
    <t>สุกิตตี</t>
  </si>
  <si>
    <t>ไชยรักษ์</t>
  </si>
  <si>
    <t>Miss  Sukittee  Chaiyarak</t>
  </si>
  <si>
    <t xml:space="preserve"> Senior Vice President of Chief Financial Officer</t>
  </si>
  <si>
    <t xml:space="preserve"> ผู้จัดการฝ่ายอาวุโส ประจำประธานเจ้าหน้าที่บริหารการเงิน ปฏิบัติงาน Secondment ต จัดการ GPSCTC และกำกับดูแลส่วนบริหารการเงินองค์กร อีกหน้าที</t>
  </si>
  <si>
    <t>23620051</t>
  </si>
  <si>
    <t>ธัญย์หทัยขวัญ</t>
  </si>
  <si>
    <t>ธนอนันตกูล</t>
  </si>
  <si>
    <t>Ms.  Tanhataikwan  Thana-Anantakul</t>
  </si>
  <si>
    <t xml:space="preserve"> Finance Officer of Chief Financial Officer</t>
  </si>
  <si>
    <t xml:space="preserve"> พนักงานการเงิน ประจำประธานเจ้าหน้าที่บริหารการเงิน</t>
  </si>
  <si>
    <t>23620057</t>
  </si>
  <si>
    <t>ภาวินี</t>
  </si>
  <si>
    <t>ฉัตรสง่า</t>
  </si>
  <si>
    <t>Ms.  Pawinee  Shatsa-Nga</t>
  </si>
  <si>
    <t>23630383</t>
  </si>
  <si>
    <t>ศศิณี</t>
  </si>
  <si>
    <t>จักรานุกุล</t>
  </si>
  <si>
    <t>Miss  Sasinee  Jukranukul</t>
  </si>
  <si>
    <t>23560227</t>
  </si>
  <si>
    <t>ปวเรศ</t>
  </si>
  <si>
    <t>รัตนสุวรรณ</t>
  </si>
  <si>
    <t>Mr.  Pavarate  Rattanasuwan</t>
  </si>
  <si>
    <t xml:space="preserve"> Senior Vice President - Commercial GPSC and Government Contract</t>
  </si>
  <si>
    <t xml:space="preserve"> ผู้จัดการฝ่ายอาวุโสการพาณิชย์ กลุ่มลูกค้า GPSC และบริหารสัญญา</t>
  </si>
  <si>
    <t>CGS</t>
  </si>
  <si>
    <t>23570041</t>
  </si>
  <si>
    <t>คมสัน</t>
  </si>
  <si>
    <t>ศักดิ์ศรีวัฒนา</t>
  </si>
  <si>
    <t>Mr.  Komsun  Saksriwattana</t>
  </si>
  <si>
    <t xml:space="preserve"> Vice President</t>
  </si>
  <si>
    <t xml:space="preserve"> ผู้จัดการฝ่าย รักษาการผู้จัดการฝ่ายอาวุโส</t>
  </si>
  <si>
    <t>CHPP</t>
  </si>
  <si>
    <t>บริษัท ผลิตไฟฟ้าและพลังงานร่วม จำกัด</t>
  </si>
  <si>
    <t>กลุ่มบริษัทในเครือGPSC</t>
  </si>
  <si>
    <t>23570042</t>
  </si>
  <si>
    <t>เอนก</t>
  </si>
  <si>
    <t>ไอศวรรย์ศาลี</t>
  </si>
  <si>
    <t>Mr.  Anek  Isawansaree</t>
  </si>
  <si>
    <t>23630016</t>
  </si>
  <si>
    <t>ศรีประภา</t>
  </si>
  <si>
    <t>สำรวจรวมผล</t>
  </si>
  <si>
    <t>Mrs.  Sriprapha  Sumruatruamphol</t>
  </si>
  <si>
    <t xml:space="preserve"> Executive Vice President - Commercial</t>
  </si>
  <si>
    <t xml:space="preserve"> รองกรรมการผู้จัดการใหญ่การพาณิชย์</t>
  </si>
  <si>
    <t>CME</t>
  </si>
  <si>
    <t>081-8202746</t>
  </si>
  <si>
    <t>23630174</t>
  </si>
  <si>
    <t>สุภัทรา</t>
  </si>
  <si>
    <t>วามะสุรีย์</t>
  </si>
  <si>
    <t>Miss  Supattra  Vamasuree</t>
  </si>
  <si>
    <t>23630060</t>
  </si>
  <si>
    <t>ศิริจันทร์</t>
  </si>
  <si>
    <t>โชติชัยสถิตย์</t>
  </si>
  <si>
    <t>Miss  Sirichan  Chotchaisathit</t>
  </si>
  <si>
    <t xml:space="preserve"> Vice President Industrial Customers Sales, GLOW</t>
  </si>
  <si>
    <t xml:space="preserve"> ผู้จัดการฝ่ายการพาณิชย์ กลุ่มลูกค้าอุตสาหกรรม GLOW</t>
  </si>
  <si>
    <t>CMV</t>
  </si>
  <si>
    <t>หน่วยการพาณิชย์กลุ่มลูกค้าอุตสาหกรรมGLOW</t>
  </si>
  <si>
    <t>081-8135739</t>
  </si>
  <si>
    <t>23630281</t>
  </si>
  <si>
    <t>วิชชุดา</t>
  </si>
  <si>
    <t>หุวะนันทน์</t>
  </si>
  <si>
    <t>Mrs.  Witchuda  Huvanandana</t>
  </si>
  <si>
    <t>081-1715466</t>
  </si>
  <si>
    <t>23630407</t>
  </si>
  <si>
    <t>อรวรา</t>
  </si>
  <si>
    <t>จิ๋วพัฒนกุล</t>
  </si>
  <si>
    <t>Miss  Onvara  Jewpattanakul</t>
  </si>
  <si>
    <t>23630440</t>
  </si>
  <si>
    <t>ชมภูนุช</t>
  </si>
  <si>
    <t>สมบูรณ์พร</t>
  </si>
  <si>
    <t>Miss  Chompoonuch  Somboonporn</t>
  </si>
  <si>
    <t>089-8100872</t>
  </si>
  <si>
    <t>23630458</t>
  </si>
  <si>
    <t>วัชพล</t>
  </si>
  <si>
    <t>แซ่อั้ง</t>
  </si>
  <si>
    <t>Mr.  Watchaphon  Sae-ang</t>
  </si>
  <si>
    <t>081-8100715</t>
  </si>
  <si>
    <t>23630494</t>
  </si>
  <si>
    <t>ภูริดา</t>
  </si>
  <si>
    <t>ยอดดี</t>
  </si>
  <si>
    <t>Ms.  Phurida  Yoddee</t>
  </si>
  <si>
    <t>23630015</t>
  </si>
  <si>
    <t>ปจงวิช</t>
  </si>
  <si>
    <t>พงษ์ศิวาภัย</t>
  </si>
  <si>
    <t>Mr.  Pajongwit  Pongsivapai</t>
  </si>
  <si>
    <t xml:space="preserve"> Chief Operating Officer</t>
  </si>
  <si>
    <t xml:space="preserve"> ประธานเจ้าหน้าที่ปฏิบัติการ</t>
  </si>
  <si>
    <t>COO</t>
  </si>
  <si>
    <t>089-2059277</t>
  </si>
  <si>
    <t>23630349</t>
  </si>
  <si>
    <t>พรนภา</t>
  </si>
  <si>
    <t>สุภาผล</t>
  </si>
  <si>
    <t>Miss  Phonnapha  Suphaphon</t>
  </si>
  <si>
    <t>23630115</t>
  </si>
  <si>
    <t>ไพลิน</t>
  </si>
  <si>
    <t>รังสรรค์ยุทธนา</t>
  </si>
  <si>
    <t>Mrs.  Phailin  Rangsanyuthana</t>
  </si>
  <si>
    <t xml:space="preserve"> Marketing Officer</t>
  </si>
  <si>
    <t xml:space="preserve"> พนักงานการตลาด</t>
  </si>
  <si>
    <t>CPM</t>
  </si>
  <si>
    <t>ส่วนวางแผนการพาณิชย์</t>
  </si>
  <si>
    <t>085-4886642</t>
  </si>
  <si>
    <t>23630316</t>
  </si>
  <si>
    <t>ชนะสิทธิ์</t>
  </si>
  <si>
    <t>นรกานต์กร</t>
  </si>
  <si>
    <t>Mr.  Chanasit  Norrakarnkorn</t>
  </si>
  <si>
    <t xml:space="preserve"> Commercial Planning Division Manager (Acting)</t>
  </si>
  <si>
    <t xml:space="preserve"> รักษาการผู้จัดการส่วนวางแผนการพาณิชย์</t>
  </si>
  <si>
    <t>084-5557287</t>
  </si>
  <si>
    <t>23630428</t>
  </si>
  <si>
    <t>ธราธร</t>
  </si>
  <si>
    <t>แก้วใจ</t>
  </si>
  <si>
    <t>Miss  Tharatorn  Kaewjai</t>
  </si>
  <si>
    <t>23630432</t>
  </si>
  <si>
    <t>นภัสพัฒน์</t>
  </si>
  <si>
    <t>ไชยูปถัมภ์</t>
  </si>
  <si>
    <t>Miss  Napatsapat  Chaiyupatump</t>
  </si>
  <si>
    <t xml:space="preserve"> Analyst</t>
  </si>
  <si>
    <t xml:space="preserve"> พนักงานวิเคราะห์และวางแผน</t>
  </si>
  <si>
    <t>063-2120552</t>
  </si>
  <si>
    <t>23630433</t>
  </si>
  <si>
    <t>จิตติ</t>
  </si>
  <si>
    <t>นิ่มนุช</t>
  </si>
  <si>
    <t>Mr.  Jitti  Nimnuch</t>
  </si>
  <si>
    <t>062-6026046</t>
  </si>
  <si>
    <t>23630474</t>
  </si>
  <si>
    <t>พุฒิพันธุ์</t>
  </si>
  <si>
    <t>วราอุไรรัตน์</t>
  </si>
  <si>
    <t>Mr.  Putthipan  Vara-Urairat</t>
  </si>
  <si>
    <t>23630154</t>
  </si>
  <si>
    <t>เกษร</t>
  </si>
  <si>
    <t>อดทน</t>
  </si>
  <si>
    <t>Miss  Kesorn  Odton</t>
  </si>
  <si>
    <t xml:space="preserve"> Industrial Customer Relations Division Manager</t>
  </si>
  <si>
    <t xml:space="preserve"> ผู้จัดการส่วนลูกค้าสัมพันธ์ GLOW</t>
  </si>
  <si>
    <t>CRV</t>
  </si>
  <si>
    <t>หน่วยลูกค้าสัมพันธ์ GLOW</t>
  </si>
  <si>
    <t>081-1715462</t>
  </si>
  <si>
    <t>23630043</t>
  </si>
  <si>
    <t>สราวุธ</t>
  </si>
  <si>
    <t>พันธ์สวัสดิ์</t>
  </si>
  <si>
    <t>Mr.  Sarawoot  Phunswad</t>
  </si>
  <si>
    <t>061-3853377</t>
  </si>
  <si>
    <t>23630100</t>
  </si>
  <si>
    <t>สมภพ</t>
  </si>
  <si>
    <t>คงสกุล</t>
  </si>
  <si>
    <t>Mr.  Sompop  Kongsakul</t>
  </si>
  <si>
    <t xml:space="preserve"> Metering Officer</t>
  </si>
  <si>
    <t xml:space="preserve"> พนักงานวิเคราะห์มาตรวัด</t>
  </si>
  <si>
    <t>23630158</t>
  </si>
  <si>
    <t>เรอโนต</t>
  </si>
  <si>
    <t>พีเยิล</t>
  </si>
  <si>
    <t>Mr.  Renaud  Pilleul</t>
  </si>
  <si>
    <t xml:space="preserve"> Vice President Industrial Customer Relations, GLOW</t>
  </si>
  <si>
    <t xml:space="preserve"> ผู้จัดการฝ่ายลูกค้าสัมพันธ์ GLOW</t>
  </si>
  <si>
    <t>081-8253978</t>
  </si>
  <si>
    <t>23630338</t>
  </si>
  <si>
    <t>ศจีมาศ</t>
  </si>
  <si>
    <t>มาลัยทอง</t>
  </si>
  <si>
    <t>Miss  Sajeemas  Malaithong</t>
  </si>
  <si>
    <t xml:space="preserve"> Customer Relationship Management Officer</t>
  </si>
  <si>
    <t xml:space="preserve"> พนักงานลูกค้าสัมพันธ์</t>
  </si>
  <si>
    <t>23630348</t>
  </si>
  <si>
    <t>เจษฎา</t>
  </si>
  <si>
    <t>ศิริทรัพย์</t>
  </si>
  <si>
    <t>Mr.  Jedsda  Sirisap</t>
  </si>
  <si>
    <t>23630413</t>
  </si>
  <si>
    <t>นริศรา</t>
  </si>
  <si>
    <t>บำรุง</t>
  </si>
  <si>
    <t>Miss  Naritsara  Bamrung</t>
  </si>
  <si>
    <t>063-2347564</t>
  </si>
  <si>
    <t>23630427</t>
  </si>
  <si>
    <t>ปานิศา</t>
  </si>
  <si>
    <t>พิชิตมารกุล</t>
  </si>
  <si>
    <t>Mrs.  Panisa  Pichitmankul</t>
  </si>
  <si>
    <t>23630439</t>
  </si>
  <si>
    <t>ทศพล</t>
  </si>
  <si>
    <t>ฉันทะยิ่งยง</t>
  </si>
  <si>
    <t>Mr.  Tossapon  Chanthayingyong</t>
  </si>
  <si>
    <t>063-2347503</t>
  </si>
  <si>
    <t>23560164</t>
  </si>
  <si>
    <t>ปริญญา</t>
  </si>
  <si>
    <t>นรพักตร์</t>
  </si>
  <si>
    <t>Mr.  Parinya  Nonrapug</t>
  </si>
  <si>
    <t xml:space="preserve"> Industrial Customers Sales, GPSC Division Manager</t>
  </si>
  <si>
    <t xml:space="preserve"> ผู้จัดการส่วนการพาณิชย์ กลุ่มลูกค้าอุตสาหกรรม GPSC</t>
  </si>
  <si>
    <t>CSM</t>
  </si>
  <si>
    <t>ส่วนการพาณิชย์กลุ่มลูกค้าอุตสาหกรรม GPSC</t>
  </si>
  <si>
    <t>23570035</t>
  </si>
  <si>
    <t>ธุวดี</t>
  </si>
  <si>
    <t>กุศลทรามาส</t>
  </si>
  <si>
    <t>Miss  Thuwadee  Kusontramas</t>
  </si>
  <si>
    <t xml:space="preserve"> Industrial Product Supply Chain Management Officer</t>
  </si>
  <si>
    <t xml:space="preserve"> พนักงานบริหารซัพพลายเชน</t>
  </si>
  <si>
    <t>23600008</t>
  </si>
  <si>
    <t>ภาณุษ์</t>
  </si>
  <si>
    <t>เมฆจรูญ</t>
  </si>
  <si>
    <t>Mr.  Bhanu  Mekjaroon</t>
  </si>
  <si>
    <t xml:space="preserve"> Sales and Marketing Officer</t>
  </si>
  <si>
    <t xml:space="preserve"> พนักงานการขายและการตลาด</t>
  </si>
  <si>
    <t>23620008</t>
  </si>
  <si>
    <t>ศิริวรรณ</t>
  </si>
  <si>
    <t>ศิลาภากุล</t>
  </si>
  <si>
    <t>Miss  Siriwan  Silapakul</t>
  </si>
  <si>
    <t>23560089</t>
  </si>
  <si>
    <t>วีรวรรณ</t>
  </si>
  <si>
    <t>บุญปกครอง</t>
  </si>
  <si>
    <t>Miss  Veerawan  Boonpokkrong</t>
  </si>
  <si>
    <t>23560147</t>
  </si>
  <si>
    <t>สริญญา</t>
  </si>
  <si>
    <t>แสงวิรุณ</t>
  </si>
  <si>
    <t>Miss  Sarinya  Sangvirul</t>
  </si>
  <si>
    <t>-063-8502888</t>
  </si>
  <si>
    <t>23630085</t>
  </si>
  <si>
    <t>สัญญา</t>
  </si>
  <si>
    <t>เอี่ยมอนันต์</t>
  </si>
  <si>
    <t>Mr.  Sanya  Iamanan</t>
  </si>
  <si>
    <t xml:space="preserve"> Mechanical  Technician</t>
  </si>
  <si>
    <t xml:space="preserve"> ช่างเทคนิคเครื่องกล</t>
  </si>
  <si>
    <t>EAT 5</t>
  </si>
  <si>
    <t>ผบร.รักษาเครื่องกล Phase 3-5 Coal Fired</t>
  </si>
  <si>
    <t>ส่วนซ่อมบำรุง รฟฟ.พท.ระยอง - Phase 3-5</t>
  </si>
  <si>
    <t>หน่วยซ่อมบำรุงโรงไฟฟ้าพื้นที่ระยอง</t>
  </si>
  <si>
    <t>สายงานรองกผญ.ศูนย์ความเป็นเลิศปฏิบัติการ</t>
  </si>
  <si>
    <t>GPSC COAL-F</t>
  </si>
  <si>
    <t>23630105</t>
  </si>
  <si>
    <t>จำลอง</t>
  </si>
  <si>
    <t>อาสาคุณ</t>
  </si>
  <si>
    <t>Mr.  Chamlong  Asakhun</t>
  </si>
  <si>
    <t>23630134</t>
  </si>
  <si>
    <t>พิเชฐ</t>
  </si>
  <si>
    <t>สมภูเวช</t>
  </si>
  <si>
    <t>Mr.  Pichet  Sompuvech</t>
  </si>
  <si>
    <t>23630149</t>
  </si>
  <si>
    <t>หน้างาม</t>
  </si>
  <si>
    <t>Mr.  Wichien  Na-ngam</t>
  </si>
  <si>
    <t xml:space="preserve"> Maintenance Mechanical Section Manager</t>
  </si>
  <si>
    <t xml:space="preserve"> ผู้จัดการแผนกบำรุงรักษาเครื่องกล</t>
  </si>
  <si>
    <t>092-2577168</t>
  </si>
  <si>
    <t>23630162</t>
  </si>
  <si>
    <t>กรกฎ</t>
  </si>
  <si>
    <t>ดีเลิศ</t>
  </si>
  <si>
    <t>Mr.  Korakoj  Deelert</t>
  </si>
  <si>
    <t>23630163</t>
  </si>
  <si>
    <t>กฤชพล</t>
  </si>
  <si>
    <t>แก้วพามา</t>
  </si>
  <si>
    <t>Mr.  Kritchaphon  Kaeophama</t>
  </si>
  <si>
    <t>23630191</t>
  </si>
  <si>
    <t>ดิษณ์กร</t>
  </si>
  <si>
    <t>พรมเวียง</t>
  </si>
  <si>
    <t>Mr.  Didsakorn  Promwieng</t>
  </si>
  <si>
    <t>23630211</t>
  </si>
  <si>
    <t>สมบัติ</t>
  </si>
  <si>
    <t>โกสุม</t>
  </si>
  <si>
    <t>Mr.  Sombat  Kosum</t>
  </si>
  <si>
    <t>23630215</t>
  </si>
  <si>
    <t>อาทิตย์</t>
  </si>
  <si>
    <t>บงแก้ว</t>
  </si>
  <si>
    <t>Mr.  Atit  Bongkaew</t>
  </si>
  <si>
    <t>23630351</t>
  </si>
  <si>
    <t>เอกรัตน์</t>
  </si>
  <si>
    <t>เจียมวัฒนาเลิศ</t>
  </si>
  <si>
    <t>Mr.  Aekarat  Jiamwattanalers</t>
  </si>
  <si>
    <t>23630148</t>
  </si>
  <si>
    <t>กิตกร</t>
  </si>
  <si>
    <t>ไชยอุป</t>
  </si>
  <si>
    <t>Mr.  Kittakorn  Chaiyaoup</t>
  </si>
  <si>
    <t>EAT 6</t>
  </si>
  <si>
    <t>ผบร.รักษาเครื่องกล Phase 3-5 Gas Fired</t>
  </si>
  <si>
    <t>GPSC GAS-F</t>
  </si>
  <si>
    <t>092-2576803</t>
  </si>
  <si>
    <t>23630182</t>
  </si>
  <si>
    <t>สถาพร</t>
  </si>
  <si>
    <t>คำกัมพล</t>
  </si>
  <si>
    <t>Mr.  Sathaporn  Kamgampon</t>
  </si>
  <si>
    <t>23630207</t>
  </si>
  <si>
    <t>สมศักดิ์</t>
  </si>
  <si>
    <t>พรมโสดา</t>
  </si>
  <si>
    <t>Mr.  Somsak  Promsoda</t>
  </si>
  <si>
    <t>23630246</t>
  </si>
  <si>
    <t>จักรพงศ์</t>
  </si>
  <si>
    <t>มีหกวงศ์</t>
  </si>
  <si>
    <t>Mr.  Jakrapong  Meehokwong</t>
  </si>
  <si>
    <t>23630264</t>
  </si>
  <si>
    <t>จิตวัต</t>
  </si>
  <si>
    <t>ศิริพันธ์</t>
  </si>
  <si>
    <t>Mr.  Jittawat  Siripan</t>
  </si>
  <si>
    <t>23630034</t>
  </si>
  <si>
    <t>จรรยาลักษณ์</t>
  </si>
  <si>
    <t>ชั้งตั้งเติมพงษ์</t>
  </si>
  <si>
    <t>Mrs.  Janyalak  Changtangtermpong</t>
  </si>
  <si>
    <t>EBM</t>
  </si>
  <si>
    <t>ส่วนระบบจำหน่ายลูกค้า</t>
  </si>
  <si>
    <t>23630066</t>
  </si>
  <si>
    <t>นคร</t>
  </si>
  <si>
    <t>พรหมงาม</t>
  </si>
  <si>
    <t>Mr.  Nakhon  Phromngam</t>
  </si>
  <si>
    <t xml:space="preserve"> Customer Network Technician</t>
  </si>
  <si>
    <t xml:space="preserve"> ช่างเทคนิคระบบสายส่งลูกค้า</t>
  </si>
  <si>
    <t>23560067</t>
  </si>
  <si>
    <t>ปฏิเวธ</t>
  </si>
  <si>
    <t>จรุงเกียรติขจร</t>
  </si>
  <si>
    <t>Mr.  Patiwate  Jaroongkiattikhajorn</t>
  </si>
  <si>
    <t xml:space="preserve"> ผู้จัดการแผนกบำรุงรักษาเครื่องกลลูกค้า</t>
  </si>
  <si>
    <t>EBT</t>
  </si>
  <si>
    <t>แผนกบำรุงรักษาเครื่องกลลูกค้า</t>
  </si>
  <si>
    <t>0943429798</t>
  </si>
  <si>
    <t>23630248</t>
  </si>
  <si>
    <t>ธีระยุทธ</t>
  </si>
  <si>
    <t>เชยชม</t>
  </si>
  <si>
    <t>Mr.  Theerayooth  Choiechom</t>
  </si>
  <si>
    <t>23630376</t>
  </si>
  <si>
    <t>ธนพล</t>
  </si>
  <si>
    <t>เชื้อพลายเวช</t>
  </si>
  <si>
    <t>Mr.  Tanapon  Chuapaiwate</t>
  </si>
  <si>
    <t>23630449</t>
  </si>
  <si>
    <t>พสุ</t>
  </si>
  <si>
    <t>สุรนันท์ชนก</t>
  </si>
  <si>
    <t>Mr.  Pasu  Surananchanok</t>
  </si>
  <si>
    <t>23630452</t>
  </si>
  <si>
    <t>กรพิชญ์</t>
  </si>
  <si>
    <t>รังสิยานุสิต</t>
  </si>
  <si>
    <t>Mr.  Koraphit  Rungsiyanusit</t>
  </si>
  <si>
    <t>23630017</t>
  </si>
  <si>
    <t>อาเรียน</t>
  </si>
  <si>
    <t>แวน เดน บรูค</t>
  </si>
  <si>
    <t>Mr.  Arjan  van  den  Broek</t>
  </si>
  <si>
    <t xml:space="preserve"> Executive Vice President - Operation Center of Excellence</t>
  </si>
  <si>
    <t xml:space="preserve"> รองกรรมการผู้จัดการใหญ่ศูนย์ความเป็นเลิศปฏิบัติการ</t>
  </si>
  <si>
    <t>ECE</t>
  </si>
  <si>
    <t>061-4040505</t>
  </si>
  <si>
    <t>23630206</t>
  </si>
  <si>
    <t>เสาวภา</t>
  </si>
  <si>
    <t>บุตรดาพันธ์</t>
  </si>
  <si>
    <t>Miss  Saowapa  Buthdapunt</t>
  </si>
  <si>
    <t>23630112</t>
  </si>
  <si>
    <t>ภิญญา</t>
  </si>
  <si>
    <t>ศิธาวัชย์</t>
  </si>
  <si>
    <t>Mrs.  Pinya  Sithawat</t>
  </si>
  <si>
    <t>ECM</t>
  </si>
  <si>
    <t>ส่วนซ่อมบำรุงรฟฟ.พท.ระยอง-CUP1-4/Phase 2</t>
  </si>
  <si>
    <t>GPSC RYG : Glow energy</t>
  </si>
  <si>
    <t>GPSC GEN-F</t>
  </si>
  <si>
    <t>23630282</t>
  </si>
  <si>
    <t>บุญสรวง</t>
  </si>
  <si>
    <t>เสนีวงศ์ ณ อยุธยา</t>
  </si>
  <si>
    <t>Mr.  Boonsuang  Seneewong  Na  Ayutthaya</t>
  </si>
  <si>
    <t xml:space="preserve"> Maintenance Manager - Rayong Area Maintenance Execution CUP1-4/Phase 2</t>
  </si>
  <si>
    <t xml:space="preserve"> ผู้จัดการส่วนซ่อมบำรุง โรงไฟฟ้าพื้นที่ระยอง - CUP1-4/Phase 2</t>
  </si>
  <si>
    <t>084-7009235</t>
  </si>
  <si>
    <t>23630107</t>
  </si>
  <si>
    <t>สานนท์</t>
  </si>
  <si>
    <t>พฤกเกษม</t>
  </si>
  <si>
    <t>Mr.  Sanon  Prukkasem</t>
  </si>
  <si>
    <t xml:space="preserve"> Maintenance Instrument and Control Section Manager</t>
  </si>
  <si>
    <t xml:space="preserve"> ผู้จัดการแผนกบำรุงรักษาระบบวัดคุม</t>
  </si>
  <si>
    <t>ECT</t>
  </si>
  <si>
    <t>ผบร.รักษาระบบวัดคุมรฟฟ.โกลว์ SPP11</t>
  </si>
  <si>
    <t>ส่วนซ่อมบำรุงรฟฟ.โกลว์ SPP11</t>
  </si>
  <si>
    <t>ฝ่ายซ่อมบำรุงโรงไฟฟ้า</t>
  </si>
  <si>
    <t>GPSC SPP11-F</t>
  </si>
  <si>
    <t>085-4894870</t>
  </si>
  <si>
    <t>23630179</t>
  </si>
  <si>
    <t>ประเสริฐ</t>
  </si>
  <si>
    <t>วงศ์คำเหลา</t>
  </si>
  <si>
    <t>Mr.  Prasert  Wongkumlao</t>
  </si>
  <si>
    <t xml:space="preserve"> Instrument Technician</t>
  </si>
  <si>
    <t xml:space="preserve"> ช่างเทคนิคเครื่องมือวัด</t>
  </si>
  <si>
    <t>23630267</t>
  </si>
  <si>
    <t>ไกรสร</t>
  </si>
  <si>
    <t>กระจง</t>
  </si>
  <si>
    <t>Mr.  Kraisorn  Krachong</t>
  </si>
  <si>
    <t>23630309</t>
  </si>
  <si>
    <t>อภิศักดิ์</t>
  </si>
  <si>
    <t>เงินขาว</t>
  </si>
  <si>
    <t>Mr.  Apisak  Ngeonkhaow</t>
  </si>
  <si>
    <t>23560021</t>
  </si>
  <si>
    <t>วิทธิกร</t>
  </si>
  <si>
    <t>กาวีวน</t>
  </si>
  <si>
    <t>Mr.  Wittigorn  Kaweewon</t>
  </si>
  <si>
    <t>ECT 1</t>
  </si>
  <si>
    <t>ผบร.รักษาระบบวัดคุม - CUP1-4</t>
  </si>
  <si>
    <t>0946565569</t>
  </si>
  <si>
    <t>23560026</t>
  </si>
  <si>
    <t>ศิรัณย์</t>
  </si>
  <si>
    <t>สมบูรณ์สิทธิ์</t>
  </si>
  <si>
    <t>Mr.  Siran  Somboonsit</t>
  </si>
  <si>
    <t>23560119</t>
  </si>
  <si>
    <t>วิริยะ</t>
  </si>
  <si>
    <t>กุศลพรสร้าง</t>
  </si>
  <si>
    <t>Mr.  Viriya  Kusolpornsang</t>
  </si>
  <si>
    <t>0986107654</t>
  </si>
  <si>
    <t>23630489</t>
  </si>
  <si>
    <t>พรวุฒิ</t>
  </si>
  <si>
    <t>วังซ้าย</t>
  </si>
  <si>
    <t>Mr.  Pornwut  Wangsai</t>
  </si>
  <si>
    <t>23620042</t>
  </si>
  <si>
    <t>เกริกชัย</t>
  </si>
  <si>
    <t>จันต๊ะคาด</t>
  </si>
  <si>
    <t>Mr.  Krerkchai  Jantakad</t>
  </si>
  <si>
    <t>GPSC RYG : CUP-4</t>
  </si>
  <si>
    <t>23630086</t>
  </si>
  <si>
    <t>เชาวลิต</t>
  </si>
  <si>
    <t>อารมย์ดี</t>
  </si>
  <si>
    <t>Mr.  Chaowalit  Arromdee</t>
  </si>
  <si>
    <t>ECT 2</t>
  </si>
  <si>
    <t>ผบร.รักษาระบบวัดคุม - Phase 2</t>
  </si>
  <si>
    <t>081-8231182</t>
  </si>
  <si>
    <t>23630272</t>
  </si>
  <si>
    <t>บรรพต</t>
  </si>
  <si>
    <t>ปฏิบัติ</t>
  </si>
  <si>
    <t>Mr.  Bunpot  Patibat</t>
  </si>
  <si>
    <t>23630325</t>
  </si>
  <si>
    <t>เกษมพันธุ์</t>
  </si>
  <si>
    <t>ชนะทัพ</t>
  </si>
  <si>
    <t>Mr.  Kasempan  Chanathup</t>
  </si>
  <si>
    <t>23630336</t>
  </si>
  <si>
    <t>ศรัณย์</t>
  </si>
  <si>
    <t>จันทร</t>
  </si>
  <si>
    <t>Mr.  Saran  Chanthon</t>
  </si>
  <si>
    <t>23630372</t>
  </si>
  <si>
    <t>สุรเชษฐ์</t>
  </si>
  <si>
    <t>แซ่เตื้อง</t>
  </si>
  <si>
    <t>Mr.  Surachet  Saetueang</t>
  </si>
  <si>
    <t>23630110</t>
  </si>
  <si>
    <t>อภิชาติ</t>
  </si>
  <si>
    <t>สาริกุล</t>
  </si>
  <si>
    <t>Mr.  Apichart  Sarikul</t>
  </si>
  <si>
    <t xml:space="preserve"> Maintenance SPP11 Division Manager</t>
  </si>
  <si>
    <t xml:space="preserve"> ผู้จัดการส่วนซ่อมบำรุง โรงไฟฟ้าโกลว์ เอสพีพี 11</t>
  </si>
  <si>
    <t>EDM</t>
  </si>
  <si>
    <t>085-6604991</t>
  </si>
  <si>
    <t>23630275</t>
  </si>
  <si>
    <t>พิษณุเวช</t>
  </si>
  <si>
    <t>ขันตี</t>
  </si>
  <si>
    <t>Mr.  Pitsanuvet  Khantee</t>
  </si>
  <si>
    <t>EDT</t>
  </si>
  <si>
    <t>ผบร.รักษาไฟฟ้าโรงไฟฟ้าโกลว์ SPP11</t>
  </si>
  <si>
    <t>23630295</t>
  </si>
  <si>
    <t>อิทธิพล</t>
  </si>
  <si>
    <t>ศิริพานิช</t>
  </si>
  <si>
    <t>Mr.  Ittipol  Siripanich</t>
  </si>
  <si>
    <t xml:space="preserve"> Maintenance Electrical Section Manager</t>
  </si>
  <si>
    <t xml:space="preserve"> ผู้จัดการแผนกบำรุงรักษาไฟฟ้า</t>
  </si>
  <si>
    <t>061-4061021</t>
  </si>
  <si>
    <t>23630344</t>
  </si>
  <si>
    <t>วาทิน</t>
  </si>
  <si>
    <t>สมรูป</t>
  </si>
  <si>
    <t>Mr.  Wathin  Somroob</t>
  </si>
  <si>
    <t xml:space="preserve"> Electrical Technician</t>
  </si>
  <si>
    <t xml:space="preserve"> ช่างเทคนิคไฟฟ้า</t>
  </si>
  <si>
    <t>23630374</t>
  </si>
  <si>
    <t>สันติสุข</t>
  </si>
  <si>
    <t>รูปงาม</t>
  </si>
  <si>
    <t>Mr.  Santisuk  Lupngam</t>
  </si>
  <si>
    <t>23630068</t>
  </si>
  <si>
    <t>รัตนากร</t>
  </si>
  <si>
    <t>Mr.  Rungroj  Rattanakorn</t>
  </si>
  <si>
    <t>EDT 1</t>
  </si>
  <si>
    <t>ผบร.รักษาระบบวัดคุม Phase 3-5 Coal Fired</t>
  </si>
  <si>
    <t>23630087</t>
  </si>
  <si>
    <t>วิรัตน์</t>
  </si>
  <si>
    <t>เพิ่มเพียรเกียรติ</t>
  </si>
  <si>
    <t>Mr.  Wirat  Permpienkiet</t>
  </si>
  <si>
    <t>085-4851430</t>
  </si>
  <si>
    <t>23630233</t>
  </si>
  <si>
    <t>บางประเสริฐ</t>
  </si>
  <si>
    <t>Mr.  Jessada  Bangprasert</t>
  </si>
  <si>
    <t>23630324</t>
  </si>
  <si>
    <t>พุชนะ</t>
  </si>
  <si>
    <t>Mr.  Chairat  Puchana</t>
  </si>
  <si>
    <t>23630346</t>
  </si>
  <si>
    <t>ประกาศิต</t>
  </si>
  <si>
    <t>นาโสม</t>
  </si>
  <si>
    <t>Mr.  Prakasit  Nasom</t>
  </si>
  <si>
    <t>23630431</t>
  </si>
  <si>
    <t>โหมดตาด</t>
  </si>
  <si>
    <t>Mr.  Parinya  Modtad</t>
  </si>
  <si>
    <t>23630216</t>
  </si>
  <si>
    <t>พรชัย</t>
  </si>
  <si>
    <t>แหงมมา</t>
  </si>
  <si>
    <t>Mr.  Pornchai  Ngaemma</t>
  </si>
  <si>
    <t>EDT 2</t>
  </si>
  <si>
    <t>ผบร.รักษาระบบวัดคุม Phase 3-5 Gas Fired</t>
  </si>
  <si>
    <t>23630178</t>
  </si>
  <si>
    <t>มงคล</t>
  </si>
  <si>
    <t>สุพรม</t>
  </si>
  <si>
    <t>Mr.  Mongkol  Suprom</t>
  </si>
  <si>
    <t>23630181</t>
  </si>
  <si>
    <t>วชิราวุธ</t>
  </si>
  <si>
    <t>เอี่ยมสะอาด</t>
  </si>
  <si>
    <t>Mr.  Wachirawut  Iamsaard</t>
  </si>
  <si>
    <t>23630184</t>
  </si>
  <si>
    <t>ภัทราวุธ</t>
  </si>
  <si>
    <t>อนิลบล</t>
  </si>
  <si>
    <t>Mr.  Pattarawut  Anillabol</t>
  </si>
  <si>
    <t>089-2063624</t>
  </si>
  <si>
    <t>23630208</t>
  </si>
  <si>
    <t>ประวิทย์</t>
  </si>
  <si>
    <t>สุจินดา</t>
  </si>
  <si>
    <t>Mr.  Prawit  Sujinda</t>
  </si>
  <si>
    <t>23630221</t>
  </si>
  <si>
    <t>พัลลภ</t>
  </si>
  <si>
    <t>ศรัณยโชติ</t>
  </si>
  <si>
    <t>Mr.  Phanlop  Saranyachoet</t>
  </si>
  <si>
    <t xml:space="preserve"> Maintenance Mechanical  Section Manager</t>
  </si>
  <si>
    <t>EFT</t>
  </si>
  <si>
    <t>ผบร.รักษาเครื่องกลรฟฟ.โกลว์ SPP11</t>
  </si>
  <si>
    <t>085-6605032</t>
  </si>
  <si>
    <t>23630265</t>
  </si>
  <si>
    <t>วิทยา</t>
  </si>
  <si>
    <t>กองเกิด</t>
  </si>
  <si>
    <t>Mr.  Wittaya  Kongkerd</t>
  </si>
  <si>
    <t>23630266</t>
  </si>
  <si>
    <t>ธรรมนูญ</t>
  </si>
  <si>
    <t>มาระมิ่ง</t>
  </si>
  <si>
    <t>Mr.  Thammanoon  Maraming</t>
  </si>
  <si>
    <t>23630277</t>
  </si>
  <si>
    <t>พีระพล</t>
  </si>
  <si>
    <t>สำเนียงเสนาะ</t>
  </si>
  <si>
    <t>Mr.  Phiraphon  Samniangsanoh</t>
  </si>
  <si>
    <t>23630119</t>
  </si>
  <si>
    <t>สายชล</t>
  </si>
  <si>
    <t>พุกอินทร์</t>
  </si>
  <si>
    <t>Mr.  Saichol  Pug-In</t>
  </si>
  <si>
    <t>EGT</t>
  </si>
  <si>
    <t>ผบร.รักษาไฟฟ้าโรงไฟฟ้าโกลว์ IPP SRC</t>
  </si>
  <si>
    <t>ส่วนซ่อมบำรุง โรงไฟฟ้าโกลว์ IPP SRC</t>
  </si>
  <si>
    <t>23630120</t>
  </si>
  <si>
    <t>กฤษฎา</t>
  </si>
  <si>
    <t>วิสุทธิแพทย์</t>
  </si>
  <si>
    <t>Mr.  Kritsada  Wisuttipat</t>
  </si>
  <si>
    <t>085-4853408</t>
  </si>
  <si>
    <t>23630360</t>
  </si>
  <si>
    <t>นรากร</t>
  </si>
  <si>
    <t>เชื้อเวียง</t>
  </si>
  <si>
    <t>Mr.  Narakorn  Chuewiang</t>
  </si>
  <si>
    <t>23560010</t>
  </si>
  <si>
    <t>ไกรวุฒิ</t>
  </si>
  <si>
    <t>Mr.  Kraiwut  Pholdee</t>
  </si>
  <si>
    <t>GPSC CBI : IPP1</t>
  </si>
  <si>
    <t>GPSC IPP1-F</t>
  </si>
  <si>
    <t>23630053</t>
  </si>
  <si>
    <t>สุภาพร</t>
  </si>
  <si>
    <t>เมธาวิรุฬห์</t>
  </si>
  <si>
    <t>Miss  Supaporn  Methavirun</t>
  </si>
  <si>
    <t>EHM</t>
  </si>
  <si>
    <t>23630077</t>
  </si>
  <si>
    <t>วสันต์</t>
  </si>
  <si>
    <t>บุญหาร</t>
  </si>
  <si>
    <t>Mr.  Wasan  Bunharn</t>
  </si>
  <si>
    <t xml:space="preserve"> Maintenance Manager - Rayong Area Maintenance Execution Phase 3-5</t>
  </si>
  <si>
    <t xml:space="preserve"> ผู้จัดการส่วนซ่อมบำรุง โรงไฟฟ้าพื้นที่ระยอง - Phase 3-5</t>
  </si>
  <si>
    <t>089-2057057</t>
  </si>
  <si>
    <t>23570006</t>
  </si>
  <si>
    <t>จันทาบุตร</t>
  </si>
  <si>
    <t>Mr.  Arnon  Chuntabutr</t>
  </si>
  <si>
    <t xml:space="preserve"> Acting Maintenance Mechanical Section Manager</t>
  </si>
  <si>
    <t xml:space="preserve"> รักษาการ ผู้จัดการแผนกบํารุงรักษาเครื่องกล</t>
  </si>
  <si>
    <t>EHT 5</t>
  </si>
  <si>
    <t>ผบร.รักษาเครื่องกล - CUP1-4</t>
  </si>
  <si>
    <t>GPSC CUP1-F</t>
  </si>
  <si>
    <t>080-685-9362</t>
  </si>
  <si>
    <t>23610041</t>
  </si>
  <si>
    <t>ธนาคาร</t>
  </si>
  <si>
    <t>กษิเดชโภคิน</t>
  </si>
  <si>
    <t>Mr.  Thanakarn  Chaemdet</t>
  </si>
  <si>
    <t>0844298179</t>
  </si>
  <si>
    <t>23630486</t>
  </si>
  <si>
    <t>ลิขิต</t>
  </si>
  <si>
    <t>อินทร์ต้น</t>
  </si>
  <si>
    <t>Mr.  Likit  Inton</t>
  </si>
  <si>
    <t>23630500</t>
  </si>
  <si>
    <t>มีนาม</t>
  </si>
  <si>
    <t>Mr.  Withaya  Meenam</t>
  </si>
  <si>
    <t>23630143</t>
  </si>
  <si>
    <t>Mr.  Pornchai  Suprom</t>
  </si>
  <si>
    <t xml:space="preserve"> Mechanical Technician</t>
  </si>
  <si>
    <t>EHT 6</t>
  </si>
  <si>
    <t>ผบร.รักษาเครื่องกล - Phase 2</t>
  </si>
  <si>
    <t>23630147</t>
  </si>
  <si>
    <t>ชัชชัย</t>
  </si>
  <si>
    <t>ไชยชะนะ</t>
  </si>
  <si>
    <t>Mr.  Chatchai  Chaichana</t>
  </si>
  <si>
    <t>089-2057055</t>
  </si>
  <si>
    <t>23630177</t>
  </si>
  <si>
    <t>พิเชษฐ์</t>
  </si>
  <si>
    <t>มีสบาย</t>
  </si>
  <si>
    <t>Mr.  Pichet  Meesabai</t>
  </si>
  <si>
    <t>23630347</t>
  </si>
  <si>
    <t>อภิวิชญ์</t>
  </si>
  <si>
    <t>ศรีชิน</t>
  </si>
  <si>
    <t>Mr.  Aphiwit  Srichin</t>
  </si>
  <si>
    <t>23630350</t>
  </si>
  <si>
    <t>ศตวรรษ</t>
  </si>
  <si>
    <t>ปักโคทานัง</t>
  </si>
  <si>
    <t>Mr.  Satawat  Pakkotanang</t>
  </si>
  <si>
    <t>23560222</t>
  </si>
  <si>
    <t>จิรวัฒน์</t>
  </si>
  <si>
    <t>ชินมณี</t>
  </si>
  <si>
    <t>Mr.  Jirawat  Chinmanee</t>
  </si>
  <si>
    <t xml:space="preserve"> Acting Turnaround Management Section Manager</t>
  </si>
  <si>
    <t xml:space="preserve"> รักษาการ ผู้จัดการแผนกบริหารการบำรุงรักษาโรงงาน</t>
  </si>
  <si>
    <t>EJT</t>
  </si>
  <si>
    <t>แผนกบริหารการบำรุงรักษาโรงงาน</t>
  </si>
  <si>
    <t>ฝ่ายกลยุทธ์ซ่อมบำรุงโรงไฟฟ้า</t>
  </si>
  <si>
    <t>23610029</t>
  </si>
  <si>
    <t>รัตติกาล</t>
  </si>
  <si>
    <t>ประจง</t>
  </si>
  <si>
    <t>Miss  Rattikan  Prajong</t>
  </si>
  <si>
    <t>23620045</t>
  </si>
  <si>
    <t>พรหมสุข</t>
  </si>
  <si>
    <t>Mr.  Pawared  Promsuk</t>
  </si>
  <si>
    <t>23630505</t>
  </si>
  <si>
    <t>เวียนนา</t>
  </si>
  <si>
    <t>ปริสุทธิวุฒิพร</t>
  </si>
  <si>
    <t>Miss  Vienna  Porisutiwutiporn</t>
  </si>
  <si>
    <t>ELM</t>
  </si>
  <si>
    <t>ส่วนประสิทธิภาพโรงไฟฟ้าก๊าซและถ่านหิน</t>
  </si>
  <si>
    <t>ฝ่ายประสิทธิภาพโรงงานและการผลิต</t>
  </si>
  <si>
    <t>23630424</t>
  </si>
  <si>
    <t>ธีรพงศ์</t>
  </si>
  <si>
    <t>ชื่นแย้ม</t>
  </si>
  <si>
    <t>Mr.  Teerapong  Chuenyam</t>
  </si>
  <si>
    <t>23630314</t>
  </si>
  <si>
    <t>อำนาจ</t>
  </si>
  <si>
    <t>อำมะรี</t>
  </si>
  <si>
    <t>Mr.  Amnat  Ammaree</t>
  </si>
  <si>
    <t xml:space="preserve"> Section Manager</t>
  </si>
  <si>
    <t xml:space="preserve"> ผู้จัดการแผนก</t>
  </si>
  <si>
    <t>23630330</t>
  </si>
  <si>
    <t>อาศิรา</t>
  </si>
  <si>
    <t>วิจิตรทองเรือง</t>
  </si>
  <si>
    <t>Miss  Asira  Wijittongruang</t>
  </si>
  <si>
    <t>23630362</t>
  </si>
  <si>
    <t>ปาณสาร</t>
  </si>
  <si>
    <t>แสนหมุด</t>
  </si>
  <si>
    <t>Mr.  Panasan  Saenmood</t>
  </si>
  <si>
    <t>23630380</t>
  </si>
  <si>
    <t>ธาดา</t>
  </si>
  <si>
    <t>รุ่งวิจิตรสิน</t>
  </si>
  <si>
    <t>Mr.  Tada  Rungvijitsin</t>
  </si>
  <si>
    <t>23630381</t>
  </si>
  <si>
    <t>สุชาดา</t>
  </si>
  <si>
    <t>พลชัย</t>
  </si>
  <si>
    <t>Miss  Suchada  Polchai</t>
  </si>
  <si>
    <t>23630396</t>
  </si>
  <si>
    <t>อุดมศักดิ์</t>
  </si>
  <si>
    <t>พุทธศรี</t>
  </si>
  <si>
    <t>Mr.  Udomsak  Putthasri</t>
  </si>
  <si>
    <t>23630483</t>
  </si>
  <si>
    <t>ชนันธร</t>
  </si>
  <si>
    <t>พุทธาภิบาล</t>
  </si>
  <si>
    <t>Mr.  Chanuntorn  Putthapibal</t>
  </si>
  <si>
    <t>23630508</t>
  </si>
  <si>
    <t>เอกราช</t>
  </si>
  <si>
    <t>เมี้ยนแม้น</t>
  </si>
  <si>
    <t>Mr.  Aekkarat  Mean-man</t>
  </si>
  <si>
    <t>ELT 3</t>
  </si>
  <si>
    <t>ผบร.รักษาไฟฟ้า - CUP1-4</t>
  </si>
  <si>
    <t>23560202</t>
  </si>
  <si>
    <t>ปัญญา</t>
  </si>
  <si>
    <t>ลีลารัศมี</t>
  </si>
  <si>
    <t>Mr.  Panya  Leelarasamee</t>
  </si>
  <si>
    <t xml:space="preserve"> Acting Mainternance Electrical Section Manager</t>
  </si>
  <si>
    <t xml:space="preserve"> รักษาการ ผู้จัดการแผนกบำรุงรักษาไฟฟ้า</t>
  </si>
  <si>
    <t>0854890491</t>
  </si>
  <si>
    <t>23610030</t>
  </si>
  <si>
    <t>วรานนท์</t>
  </si>
  <si>
    <t>ทองถาวรวงษ์</t>
  </si>
  <si>
    <t>Mr.  Waranon  Tongtavonvong</t>
  </si>
  <si>
    <t>23570005</t>
  </si>
  <si>
    <t>พรพงษ์</t>
  </si>
  <si>
    <t>แสงแก่นสาร</t>
  </si>
  <si>
    <t>Mr.  Pornpong  Saengkaensarn</t>
  </si>
  <si>
    <t>GPSC RYG : CUP-3</t>
  </si>
  <si>
    <t>23560031</t>
  </si>
  <si>
    <t>ศรีเลิศ</t>
  </si>
  <si>
    <t>Mr.  Somsak  Srilerd</t>
  </si>
  <si>
    <t>23630139</t>
  </si>
  <si>
    <t>สนั่น</t>
  </si>
  <si>
    <t>โงนขำ</t>
  </si>
  <si>
    <t>Mr.  Sanan  Ngonkham</t>
  </si>
  <si>
    <t xml:space="preserve"> Mainternance Electrical Section Manager</t>
  </si>
  <si>
    <t>ELT 4</t>
  </si>
  <si>
    <t>ผบร.รักษาไฟฟ้า - Phase 2</t>
  </si>
  <si>
    <t>081-1704253</t>
  </si>
  <si>
    <t>23630371</t>
  </si>
  <si>
    <t>รัตนตรัย</t>
  </si>
  <si>
    <t>Mr.  Athit  Rattanatrai</t>
  </si>
  <si>
    <t>23630429</t>
  </si>
  <si>
    <t>ฤทธิราช</t>
  </si>
  <si>
    <t>กองแสง</t>
  </si>
  <si>
    <t>Mr.  Rittiras  Kongsang</t>
  </si>
  <si>
    <t>23630063</t>
  </si>
  <si>
    <t>สุรัตน์ชัย</t>
  </si>
  <si>
    <t>บางหลวง</t>
  </si>
  <si>
    <t>Mr.  Suratchai  Bangluang</t>
  </si>
  <si>
    <t xml:space="preserve"> Senior Vice President Maintenance Execution</t>
  </si>
  <si>
    <t xml:space="preserve"> ผู้จัดการฝ่ายอาวุโสซ่อมบำรุงโรงไฟฟ้า</t>
  </si>
  <si>
    <t>EMS</t>
  </si>
  <si>
    <t>089-2057053</t>
  </si>
  <si>
    <t>23560055</t>
  </si>
  <si>
    <t>ธนาวุฒิ</t>
  </si>
  <si>
    <t>วิลาสเลขา</t>
  </si>
  <si>
    <t>Mr.  Thanawut  Wilasleka</t>
  </si>
  <si>
    <t xml:space="preserve"> Plant Optimization and Production Planning Division Manager (Acting)</t>
  </si>
  <si>
    <t xml:space="preserve"> รักษาการผู้จัดการส่วนประสิทธิภาพโรงงานและวางแผนการผลิต</t>
  </si>
  <si>
    <t>ENM</t>
  </si>
  <si>
    <t>ส่วนประสิทธิภาพโรงงานและวางแผนการผลิต</t>
  </si>
  <si>
    <t>23560166</t>
  </si>
  <si>
    <t>กนกวรรณ</t>
  </si>
  <si>
    <t>เสถียรรานนท์</t>
  </si>
  <si>
    <t>Miss  Kanokwan  Sathreanranon</t>
  </si>
  <si>
    <t>23600042</t>
  </si>
  <si>
    <t>เปมิกา</t>
  </si>
  <si>
    <t>ตุลยสิทธิกุล</t>
  </si>
  <si>
    <t>Miss  Pemika  Tunyasitikun</t>
  </si>
  <si>
    <t>23610007</t>
  </si>
  <si>
    <t>ภัทรพล</t>
  </si>
  <si>
    <t>ลีละชัยกุล</t>
  </si>
  <si>
    <t>Mr.  Pattaraphol  Leelachaikul</t>
  </si>
  <si>
    <t>23560065</t>
  </si>
  <si>
    <t>อัครพล</t>
  </si>
  <si>
    <t>วิญญูตระกูล</t>
  </si>
  <si>
    <t>Mr.  Akaraphon  Winyutrakul</t>
  </si>
  <si>
    <t xml:space="preserve"> Maintenance Planning Section Manager</t>
  </si>
  <si>
    <t xml:space="preserve"> ผู้จัดการแผนกวางแผนและติดตามงานบำรุงรักษา</t>
  </si>
  <si>
    <t>ENT</t>
  </si>
  <si>
    <t>แผนกวางแผนและติดตามงานบำรุงรักษา</t>
  </si>
  <si>
    <t>ส่วนวางแผนและติดตามงานบำรุงรักษา</t>
  </si>
  <si>
    <t>23620037</t>
  </si>
  <si>
    <t>สุทัตตา</t>
  </si>
  <si>
    <t>แซ่ลิ้ม</t>
  </si>
  <si>
    <t>Ms.  Suthatta  Saelim</t>
  </si>
  <si>
    <t>23630495</t>
  </si>
  <si>
    <t>พัทธนันท์</t>
  </si>
  <si>
    <t>พัววงศ์ฤทธิชัย</t>
  </si>
  <si>
    <t>Mr.  Pattanun  Phuawongritthichai</t>
  </si>
  <si>
    <t>23640005</t>
  </si>
  <si>
    <t>ธีรุตม์</t>
  </si>
  <si>
    <t>อริยะวรรณ</t>
  </si>
  <si>
    <t>Mr.  Thirut   Ariyawan</t>
  </si>
  <si>
    <t>EOM</t>
  </si>
  <si>
    <t>ส่วนระบบการเพิ่มประสิทธิภาพ</t>
  </si>
  <si>
    <t>23630259</t>
  </si>
  <si>
    <t>พชรพล</t>
  </si>
  <si>
    <t>ปัญจหงษ์</t>
  </si>
  <si>
    <t>Mr.  Phacharaphol  Panjahong</t>
  </si>
  <si>
    <t>084-5557288</t>
  </si>
  <si>
    <t>23630419</t>
  </si>
  <si>
    <t>ดนุสรณ์</t>
  </si>
  <si>
    <t>วรรณวัฒนกูล</t>
  </si>
  <si>
    <t>Mr.  Danusorn  Wanwatanakul</t>
  </si>
  <si>
    <t>23610006</t>
  </si>
  <si>
    <t>ธวัชชัย</t>
  </si>
  <si>
    <t>อับดุลลอ</t>
  </si>
  <si>
    <t>Mr.  Thawatchai  Apdullo</t>
  </si>
  <si>
    <t xml:space="preserve"> Plant Information System Analyst</t>
  </si>
  <si>
    <t xml:space="preserve"> พนักงานวิเคราะห์ระบบสารสนเทศโรงไฟฟ้า</t>
  </si>
  <si>
    <t>0866275222</t>
  </si>
  <si>
    <t>23630036</t>
  </si>
  <si>
    <t>รุ่งทิวา</t>
  </si>
  <si>
    <t>วงษ์รักษ์</t>
  </si>
  <si>
    <t>Miss  Rungthiwa  Wongrak</t>
  </si>
  <si>
    <t>23630072</t>
  </si>
  <si>
    <t>เสรัฐ</t>
  </si>
  <si>
    <t>อริยะฐิติวงศ์</t>
  </si>
  <si>
    <t>Mr.  Serat  Ariyathitiwong</t>
  </si>
  <si>
    <t>084-3871748</t>
  </si>
  <si>
    <t>23630199</t>
  </si>
  <si>
    <t>อรรถพรรณ</t>
  </si>
  <si>
    <t>เรศมณเทียร</t>
  </si>
  <si>
    <t>Miss  Attapan  Resmontien</t>
  </si>
  <si>
    <t xml:space="preserve"> System Optimization Division Manager (Acting)</t>
  </si>
  <si>
    <t xml:space="preserve"> รักษาการผู้จัดการส่วนระบบการเพิ่มประสิทธิภาพ</t>
  </si>
  <si>
    <t>081-9352829</t>
  </si>
  <si>
    <t>23630219</t>
  </si>
  <si>
    <t>วัชระ</t>
  </si>
  <si>
    <t>พานทอง</t>
  </si>
  <si>
    <t>Mr.  Watchara  Phanthong</t>
  </si>
  <si>
    <t>081-9340376</t>
  </si>
  <si>
    <t>23630312</t>
  </si>
  <si>
    <t>สุทธิกานต์</t>
  </si>
  <si>
    <t>สุขสงวน</t>
  </si>
  <si>
    <t>Miss  Sutikarn  Suksanguan</t>
  </si>
  <si>
    <t>23630328</t>
  </si>
  <si>
    <t>วีรนุช</t>
  </si>
  <si>
    <t>สุขศิริ</t>
  </si>
  <si>
    <t>Mrs.  Weeranuch  Suksiri</t>
  </si>
  <si>
    <t>23630355</t>
  </si>
  <si>
    <t>วัฒนชัย</t>
  </si>
  <si>
    <t>ชวลิตชัยชาญ</t>
  </si>
  <si>
    <t>Mr.  Wattanachai  Chawalitchaichan</t>
  </si>
  <si>
    <t>081-3715276</t>
  </si>
  <si>
    <t>23630393</t>
  </si>
  <si>
    <t>ยุทธพงษ์</t>
  </si>
  <si>
    <t>ศรัทธา</t>
  </si>
  <si>
    <t>Mr.  Yuthapong  Sratta</t>
  </si>
  <si>
    <t>23630482</t>
  </si>
  <si>
    <t>ศิวกร</t>
  </si>
  <si>
    <t>หอวัฒนพันธ์</t>
  </si>
  <si>
    <t>Mr.  Siwakorn  Howattanapun</t>
  </si>
  <si>
    <t>23630387</t>
  </si>
  <si>
    <t>ธีระพงศ์</t>
  </si>
  <si>
    <t>สุทามาศ</t>
  </si>
  <si>
    <t>Mr.  Theerapong  Sutamas</t>
  </si>
  <si>
    <t>EOT</t>
  </si>
  <si>
    <t>แผนกบำรุงรักษาไฟฟ้าลูกค้า</t>
  </si>
  <si>
    <t>23630405</t>
  </si>
  <si>
    <t>ธนพัฒน์</t>
  </si>
  <si>
    <t>อินทร์สูงเนิน</t>
  </si>
  <si>
    <t>Mr.  Tanapat  Insoongnern</t>
  </si>
  <si>
    <t>23630456</t>
  </si>
  <si>
    <t>รอดแก้ว</t>
  </si>
  <si>
    <t>Mr.  Parinya  Rodkeaw</t>
  </si>
  <si>
    <t>090-8804452</t>
  </si>
  <si>
    <t>23630195</t>
  </si>
  <si>
    <t>พฤษภณ</t>
  </si>
  <si>
    <t>โยธา</t>
  </si>
  <si>
    <t>Mr.  Phruesaphon  Yotha</t>
  </si>
  <si>
    <t>EPT</t>
  </si>
  <si>
    <t>ผบร.รักษาระบบวัดคุมโรงไฟฟ้าโกลว์ IPP SRC</t>
  </si>
  <si>
    <t>085-4886639</t>
  </si>
  <si>
    <t>23630397</t>
  </si>
  <si>
    <t>จักรี</t>
  </si>
  <si>
    <t>นาชาสิงห์</t>
  </si>
  <si>
    <t>Mr.  Chakri  Nachasingha</t>
  </si>
  <si>
    <t>23630425</t>
  </si>
  <si>
    <t>ลิ้มตระกูล</t>
  </si>
  <si>
    <t>Mr.  Witaya  Limtrakool</t>
  </si>
  <si>
    <t>23580033</t>
  </si>
  <si>
    <t>นัทธพงศ์</t>
  </si>
  <si>
    <t>ศรีวิชัย</t>
  </si>
  <si>
    <t>Mr.  Nattapong  Sriwichai</t>
  </si>
  <si>
    <t>093-9561546</t>
  </si>
  <si>
    <t>23630061</t>
  </si>
  <si>
    <t>พิสุทธิ</t>
  </si>
  <si>
    <t>บุญวงศ์โสภณ</t>
  </si>
  <si>
    <t>Mr.  Pisut  Boonvongsobhon</t>
  </si>
  <si>
    <t xml:space="preserve"> Maintenance Digital Management &amp; Quality Division Manager</t>
  </si>
  <si>
    <t xml:space="preserve"> ผู้จัดการส่วนการจัดการ ดิจิตอล และคุณภาพงานบำรุงรักษา</t>
  </si>
  <si>
    <t>EQM</t>
  </si>
  <si>
    <t>ส่วนการจัดการดิจิตอล คุณภาพงานบำรุงรักษา</t>
  </si>
  <si>
    <t>089-2057052</t>
  </si>
  <si>
    <t>23630187</t>
  </si>
  <si>
    <t>วิมล</t>
  </si>
  <si>
    <t>สาระธนะ</t>
  </si>
  <si>
    <t>Mrs.  Vimol  Sarathana</t>
  </si>
  <si>
    <t>23630198</t>
  </si>
  <si>
    <t>ลินจง</t>
  </si>
  <si>
    <t>ทองจันทร์</t>
  </si>
  <si>
    <t>Mrs.  Linchong  Thongchan</t>
  </si>
  <si>
    <t xml:space="preserve"> Senior CMMS Officer</t>
  </si>
  <si>
    <t xml:space="preserve"> พนักงานบริหารงาน CMMS อาวุโส</t>
  </si>
  <si>
    <t>063-2195915</t>
  </si>
  <si>
    <t>23630370</t>
  </si>
  <si>
    <t>พัชริดา</t>
  </si>
  <si>
    <t>ใจดี</t>
  </si>
  <si>
    <t>Miss  Patcharida  Jaidee</t>
  </si>
  <si>
    <t xml:space="preserve"> CMMS Administration Officer</t>
  </si>
  <si>
    <t xml:space="preserve"> พนักงานบริหารงาน CMMS</t>
  </si>
  <si>
    <t>23560029</t>
  </si>
  <si>
    <t>ดำรงค์</t>
  </si>
  <si>
    <t>พึ่งสุข</t>
  </si>
  <si>
    <t>Mr.  Damrong  Pheungsook</t>
  </si>
  <si>
    <t>EQT</t>
  </si>
  <si>
    <t>แผนกคุณภาพงานซ่อมบำรุง</t>
  </si>
  <si>
    <t>GPSC RYG : CUP-1</t>
  </si>
  <si>
    <t>0925922598</t>
  </si>
  <si>
    <t>23560114</t>
  </si>
  <si>
    <t>สุวิทย์</t>
  </si>
  <si>
    <t>วิจิตรวงษ์</t>
  </si>
  <si>
    <t>Mr.  Suwit  Wichitwong</t>
  </si>
  <si>
    <t xml:space="preserve"> Q&amp;A Maintenance Section Manager</t>
  </si>
  <si>
    <t xml:space="preserve"> ผู้จัดการแผนกคุณภาพงานซ่อมบำรุง</t>
  </si>
  <si>
    <t>+66898807685</t>
  </si>
  <si>
    <t>23610042</t>
  </si>
  <si>
    <t>เอกวัฒน์</t>
  </si>
  <si>
    <t>แซ่เฉิน</t>
  </si>
  <si>
    <t>Mr.  Aekawat  Saechen</t>
  </si>
  <si>
    <t>23630124</t>
  </si>
  <si>
    <t>วีรวัฒน์</t>
  </si>
  <si>
    <t>วรรณชัย</t>
  </si>
  <si>
    <t>Mr.  Weerawat  Wannachai</t>
  </si>
  <si>
    <t xml:space="preserve"> Maintenance Execution GIPP/SRC  Division Manager</t>
  </si>
  <si>
    <t xml:space="preserve"> ผู้จัดการส่วนซ่อมบำรุง โรงไฟฟ้าโกลว์ไอพีพีและศรีราชา</t>
  </si>
  <si>
    <t>ERM</t>
  </si>
  <si>
    <t>081-1742517</t>
  </si>
  <si>
    <t>23630173</t>
  </si>
  <si>
    <t>ชุลี</t>
  </si>
  <si>
    <t>บวรวงศ์วัฒนา</t>
  </si>
  <si>
    <t>Miss  Chulee  Bawornvongwattana</t>
  </si>
  <si>
    <t>23630250</t>
  </si>
  <si>
    <t>ประเชิญ</t>
  </si>
  <si>
    <t>ทับแก้ว</t>
  </si>
  <si>
    <t>Mr.  Prachern  Thubkaew</t>
  </si>
  <si>
    <t>ERT</t>
  </si>
  <si>
    <t>ผบร.รักษาเครื่องกล โรงไฟฟ้าโกลว์ IPP SRC</t>
  </si>
  <si>
    <t>23630280</t>
  </si>
  <si>
    <t>วิชิต</t>
  </si>
  <si>
    <t>รามศิริ</t>
  </si>
  <si>
    <t>Mr.  Wichit  Ramsiri</t>
  </si>
  <si>
    <t>085-6607230</t>
  </si>
  <si>
    <t>23560074</t>
  </si>
  <si>
    <t>วิจารณ์</t>
  </si>
  <si>
    <t>Mr.  Wathin  Wichan</t>
  </si>
  <si>
    <t>0868410080</t>
  </si>
  <si>
    <t>23560032</t>
  </si>
  <si>
    <t>ชาติชาย</t>
  </si>
  <si>
    <t>Mr.  Chartchai  Saelim</t>
  </si>
  <si>
    <t xml:space="preserve"> Vice President Rayong Area Maintenance Execution</t>
  </si>
  <si>
    <t xml:space="preserve"> ผู้จัดการฝ่ายซ่อมบำรุงโรงไฟฟ้าพื้นที่ระยอง</t>
  </si>
  <si>
    <t>ERV</t>
  </si>
  <si>
    <t>0855525522</t>
  </si>
  <si>
    <t>23630153</t>
  </si>
  <si>
    <t>ไพโรจน์</t>
  </si>
  <si>
    <t>คุณพรม</t>
  </si>
  <si>
    <t>Mr.  Phairoat  Khunprom</t>
  </si>
  <si>
    <t xml:space="preserve"> Maintenance Strategic Planning Division Manager</t>
  </si>
  <si>
    <t xml:space="preserve"> ผู้จัดการส่วนกลยุทธ์งานซ่อมบำรุง</t>
  </si>
  <si>
    <t>ESM</t>
  </si>
  <si>
    <t>ส่วนกลยุทธ์งานซ่อมบำรุง</t>
  </si>
  <si>
    <t>089-9245006</t>
  </si>
  <si>
    <t>23630460</t>
  </si>
  <si>
    <t>หลุยส์</t>
  </si>
  <si>
    <t>โฮลับ</t>
  </si>
  <si>
    <t>Mr.  Louis  Holub</t>
  </si>
  <si>
    <t xml:space="preserve"> Vice President  acting Senior Vice President Maintenance Strategy</t>
  </si>
  <si>
    <t xml:space="preserve"> ผู้จัดการฝ่าย รักษาการผู้จัดการฝ่ายอาวุโสกลยุทธ์ซ่อมบำรุงโรงไฟฟ้า</t>
  </si>
  <si>
    <t>ESS</t>
  </si>
  <si>
    <t>081-7208124</t>
  </si>
  <si>
    <t>23630133</t>
  </si>
  <si>
    <t>สุระศักดิ์</t>
  </si>
  <si>
    <t>ศักดิ์ขวา</t>
  </si>
  <si>
    <t>Mr.  Surasak  Sakkwa</t>
  </si>
  <si>
    <t>ETT</t>
  </si>
  <si>
    <t>แผนกบำรุงรักษาระบบวัดคุมลูกค้า</t>
  </si>
  <si>
    <t>GPSC RYG : Central Warehouse</t>
  </si>
  <si>
    <t>23630235</t>
  </si>
  <si>
    <t>กิติศักดิ์</t>
  </si>
  <si>
    <t>เสนาสมบูรณ์</t>
  </si>
  <si>
    <t>Mr.  Kitisak  Senasomboon</t>
  </si>
  <si>
    <t>084-7001541</t>
  </si>
  <si>
    <t>23630249</t>
  </si>
  <si>
    <t>ประมุข</t>
  </si>
  <si>
    <t>พรหมพันธ์</t>
  </si>
  <si>
    <t>Mr.  Pramook  Promphan</t>
  </si>
  <si>
    <t>23630291</t>
  </si>
  <si>
    <t>สหะชาติ</t>
  </si>
  <si>
    <t>Mr.  Watchara  Sahachat</t>
  </si>
  <si>
    <t>23630423</t>
  </si>
  <si>
    <t>วรทัศน์</t>
  </si>
  <si>
    <t>สมงาม</t>
  </si>
  <si>
    <t>Mr.  Vorathat  Somngam</t>
  </si>
  <si>
    <t>23630447</t>
  </si>
  <si>
    <t>วัฒนา</t>
  </si>
  <si>
    <t>พาหนะ</t>
  </si>
  <si>
    <t>Mr.  Wattana  Pahana</t>
  </si>
  <si>
    <t>23630151</t>
  </si>
  <si>
    <t>ชาญชัย</t>
  </si>
  <si>
    <t>สวัสดิ์พาณิชย์</t>
  </si>
  <si>
    <t>Mr.  Chanchai  Sawadpanit</t>
  </si>
  <si>
    <t xml:space="preserve"> Customer Planning Section Manager</t>
  </si>
  <si>
    <t xml:space="preserve"> ผู้จัดการแผนกวางแผนงานซ่อมบำรุงลูกค้า</t>
  </si>
  <si>
    <t>EUT</t>
  </si>
  <si>
    <t>แผนกการวางแผนและซ่อมบำรุงลูกค้า</t>
  </si>
  <si>
    <t>062-5973096</t>
  </si>
  <si>
    <t>23630121</t>
  </si>
  <si>
    <t>ธเนศ</t>
  </si>
  <si>
    <t>วอทอง</t>
  </si>
  <si>
    <t>Mr.  Tehneht  Worthong</t>
  </si>
  <si>
    <t xml:space="preserve"> Maintenace Electrical Section Manager</t>
  </si>
  <si>
    <t>EUT 3</t>
  </si>
  <si>
    <t>แผนกบำรุงรักษาไฟฟ้า Phase 3-5 Coal Fired</t>
  </si>
  <si>
    <t>089-2057056</t>
  </si>
  <si>
    <t>23630217</t>
  </si>
  <si>
    <t>ธีรศักดิ์</t>
  </si>
  <si>
    <t>วันทอง</t>
  </si>
  <si>
    <t>Mr.  Teerasak  Wanthong</t>
  </si>
  <si>
    <t>23630268</t>
  </si>
  <si>
    <t>วีระชัย</t>
  </si>
  <si>
    <t>กุลาหล่า</t>
  </si>
  <si>
    <t>Mr.  Weerachai  Kulala</t>
  </si>
  <si>
    <t>23630271</t>
  </si>
  <si>
    <t>มนัส</t>
  </si>
  <si>
    <t>จันทรนิยม</t>
  </si>
  <si>
    <t>Mr.  Manus  Chantaraniyom</t>
  </si>
  <si>
    <t>23630138</t>
  </si>
  <si>
    <t>สมพร</t>
  </si>
  <si>
    <t>ดวงพรม</t>
  </si>
  <si>
    <t>Mr.  Somporn  Duangprom</t>
  </si>
  <si>
    <t>EUT 4</t>
  </si>
  <si>
    <t>แผนกบำรุงรักษาไฟฟ้า Phase 3-5 Gas Fired</t>
  </si>
  <si>
    <t>092-2576820</t>
  </si>
  <si>
    <t>23630232</t>
  </si>
  <si>
    <t>สุวิลาวงษ์</t>
  </si>
  <si>
    <t>Mr.  Komsan  Suwilawong</t>
  </si>
  <si>
    <t>23630258</t>
  </si>
  <si>
    <t>อธินาถ</t>
  </si>
  <si>
    <t>บัวสำรี</t>
  </si>
  <si>
    <t>Mr.  Atinat  Buasamree</t>
  </si>
  <si>
    <t xml:space="preserve"> Electrial Technician</t>
  </si>
  <si>
    <t>23630306</t>
  </si>
  <si>
    <t>ยุทธภูมิ</t>
  </si>
  <si>
    <t>ชุมภักดี</t>
  </si>
  <si>
    <t>Mr.  Yoottapoom  Chumpakdee</t>
  </si>
  <si>
    <t>23630386</t>
  </si>
  <si>
    <t>สหนนท์</t>
  </si>
  <si>
    <t>คำชุ่ม</t>
  </si>
  <si>
    <t>Mr.  Sahanon  Khamchum</t>
  </si>
  <si>
    <t>23560095</t>
  </si>
  <si>
    <t>ภาณิศา</t>
  </si>
  <si>
    <t>ขวัญบุรี</t>
  </si>
  <si>
    <t>Miss  Phanisa  Kwanburi</t>
  </si>
  <si>
    <t xml:space="preserve"> Outage Management Section Manager, Acting</t>
  </si>
  <si>
    <t xml:space="preserve"> รักษาการผู้จัดการแผนกการจัดการซ่อมบำรุง</t>
  </si>
  <si>
    <t>EVT</t>
  </si>
  <si>
    <t>แผนกการจัดการซ่อมบำรุง</t>
  </si>
  <si>
    <t>23630042</t>
  </si>
  <si>
    <t>จักรกฤช</t>
  </si>
  <si>
    <t>ชูวงษ์</t>
  </si>
  <si>
    <t>Mr.  Chakkid  Chuwong</t>
  </si>
  <si>
    <t>092-2577174</t>
  </si>
  <si>
    <t>23630455</t>
  </si>
  <si>
    <t>พิชญานิน</t>
  </si>
  <si>
    <t>บัววันเพ็ญ</t>
  </si>
  <si>
    <t>Miss  Pichayanin  Buawanphen</t>
  </si>
  <si>
    <t>EYT</t>
  </si>
  <si>
    <t>แผนกเสถียรภาพระบบและซ่อมบำรุงลูกค้า</t>
  </si>
  <si>
    <t>23630058</t>
  </si>
  <si>
    <t>อนันต์</t>
  </si>
  <si>
    <t>กัณหา</t>
  </si>
  <si>
    <t>Mr.  Anan  Kunha</t>
  </si>
  <si>
    <t xml:space="preserve"> Reliability and Customer Maintenance Section Manager</t>
  </si>
  <si>
    <t xml:space="preserve"> ผู้จัดการแผนกเสถียรภาพระบบและซ่อมบำรุงลูกค้า</t>
  </si>
  <si>
    <t>089-2057048</t>
  </si>
  <si>
    <t>23630026</t>
  </si>
  <si>
    <t>พิสินี</t>
  </si>
  <si>
    <t>เชื้อสุข</t>
  </si>
  <si>
    <t>Mrs.  Pisinee  Chuesook</t>
  </si>
  <si>
    <t>EZS</t>
  </si>
  <si>
    <t>23630081</t>
  </si>
  <si>
    <t>อังศุธร</t>
  </si>
  <si>
    <t>ภูบุญเติม</t>
  </si>
  <si>
    <t>Mr.  Aungsuthon  Puboonterm</t>
  </si>
  <si>
    <t xml:space="preserve"> Senior Vice President Plant and Production Optimization, Action</t>
  </si>
  <si>
    <t xml:space="preserve"> รักษาการผู้จัดการฝ่ายอาวุโสการเพิ่มประสิทธิภาพการผลิตของโรงไฟฟ้า</t>
  </si>
  <si>
    <t>081-9340375</t>
  </si>
  <si>
    <t>23560199</t>
  </si>
  <si>
    <t>กิติยา</t>
  </si>
  <si>
    <t>ชาญเกตุกรณ์</t>
  </si>
  <si>
    <t>Miss  Kitiya  Chanketkorn</t>
  </si>
  <si>
    <t xml:space="preserve"> Accounting Officer</t>
  </si>
  <si>
    <t xml:space="preserve"> พนักงานบัญชี</t>
  </si>
  <si>
    <t>FAM1</t>
  </si>
  <si>
    <t>ส่วนบัญชีและบริหารภาษีองค์กร</t>
  </si>
  <si>
    <t>ฝ่ายบัญชีและภาษีองค์กร</t>
  </si>
  <si>
    <t>สายงานประธานเจ้าหน้าที่บริหารการเงิน</t>
  </si>
  <si>
    <t>-0811947513</t>
  </si>
  <si>
    <t>23570008</t>
  </si>
  <si>
    <t>ทัศนีย์</t>
  </si>
  <si>
    <t>ศรีสุขโข</t>
  </si>
  <si>
    <t>Miss  Tassanee  Srisukkho</t>
  </si>
  <si>
    <t>0830085983</t>
  </si>
  <si>
    <t>23570027</t>
  </si>
  <si>
    <t>เศรษฐวุฒิ</t>
  </si>
  <si>
    <t>กุหลาบวิรัตน์</t>
  </si>
  <si>
    <t>Mr.  Setthawut  Kulapvirat</t>
  </si>
  <si>
    <t>23570037</t>
  </si>
  <si>
    <t>สิริกุล</t>
  </si>
  <si>
    <t>ประทีปสว่างวงศ์</t>
  </si>
  <si>
    <t>Miss  Sirikul  Prateepsawangwong</t>
  </si>
  <si>
    <t>0894900081</t>
  </si>
  <si>
    <t>23570038</t>
  </si>
  <si>
    <t>ธีระศักดิ์</t>
  </si>
  <si>
    <t>มีพันแสน</t>
  </si>
  <si>
    <t>Mr.  Teerasak  Meepansaen</t>
  </si>
  <si>
    <t xml:space="preserve"> Accounting Operation and Services -1</t>
  </si>
  <si>
    <t xml:space="preserve"> ผู้จัดการส่วนบัญชีองค์กร 1</t>
  </si>
  <si>
    <t>23600018</t>
  </si>
  <si>
    <t>ปิตินันท์</t>
  </si>
  <si>
    <t>จุนถาวร</t>
  </si>
  <si>
    <t>Mrs.  Pitinan  Chunethaworn</t>
  </si>
  <si>
    <t>23610044</t>
  </si>
  <si>
    <t>อัจฉรา</t>
  </si>
  <si>
    <t>ชาติสุทธิผล</t>
  </si>
  <si>
    <t>Miss  Ajchara  Chadsutthipol</t>
  </si>
  <si>
    <t>0813553778</t>
  </si>
  <si>
    <t>23620004</t>
  </si>
  <si>
    <t>ตวงทิพย์</t>
  </si>
  <si>
    <t>แสวงศรี</t>
  </si>
  <si>
    <t>Ms.  Tuangtip  Sawangsri</t>
  </si>
  <si>
    <t>23630488</t>
  </si>
  <si>
    <t>ศศิวรรณ</t>
  </si>
  <si>
    <t>อังควินิจวงศ์</t>
  </si>
  <si>
    <t>Ms.  Sasiwan  Angkawinijwong</t>
  </si>
  <si>
    <t>23560192</t>
  </si>
  <si>
    <t>เกศสรินทร์</t>
  </si>
  <si>
    <t>งามวงษ์วาน</t>
  </si>
  <si>
    <t>Mrs.  Kassarin  Ngamwongwan</t>
  </si>
  <si>
    <t>23560051</t>
  </si>
  <si>
    <t>อุษณิษา</t>
  </si>
  <si>
    <t>รัตนวงษ์</t>
  </si>
  <si>
    <t>Miss  Usanisa  Rattanawong</t>
  </si>
  <si>
    <t>23560111</t>
  </si>
  <si>
    <t>นฤมล</t>
  </si>
  <si>
    <t>คำภิลัง</t>
  </si>
  <si>
    <t>Miss  Narumon  Khampilung</t>
  </si>
  <si>
    <t>23630045</t>
  </si>
  <si>
    <t>จีระภา</t>
  </si>
  <si>
    <t>นามบุตร</t>
  </si>
  <si>
    <t>Miss  Jirapa  Nambut</t>
  </si>
  <si>
    <t>FAM2</t>
  </si>
  <si>
    <t>ส่วนบัญชีและภาษี SPP และพื้นที่อื่น</t>
  </si>
  <si>
    <t>23630067</t>
  </si>
  <si>
    <t>วชิรนันทน์</t>
  </si>
  <si>
    <t>ลาภพรประเสริฐ</t>
  </si>
  <si>
    <t>Miss  Wachiranan  Lappornprasert</t>
  </si>
  <si>
    <t>23630125</t>
  </si>
  <si>
    <t>กมลรัตน์</t>
  </si>
  <si>
    <t>กุลสวัสดิ์</t>
  </si>
  <si>
    <t>Miss  Kamonrat  Kulsawat</t>
  </si>
  <si>
    <t xml:space="preserve"> Accounting Operation and Services -2 Division Manager</t>
  </si>
  <si>
    <t xml:space="preserve"> ผู้จัดการส่วนบัญชีองค์กร 2</t>
  </si>
  <si>
    <t>081-1715471</t>
  </si>
  <si>
    <t>23630394</t>
  </si>
  <si>
    <t>ดวงพร</t>
  </si>
  <si>
    <t>เลิศพลรัตน์</t>
  </si>
  <si>
    <t>Mrs.  Duangphorn  Leartponrat</t>
  </si>
  <si>
    <t>23630395</t>
  </si>
  <si>
    <t>สมหญิง</t>
  </si>
  <si>
    <t>นวลละออ</t>
  </si>
  <si>
    <t>Miss  Somying  Nuallao</t>
  </si>
  <si>
    <t>23630410</t>
  </si>
  <si>
    <t>พงภรณ์</t>
  </si>
  <si>
    <t>อนันตภรณ์</t>
  </si>
  <si>
    <t>Miss  Pongporn  Anantaporn</t>
  </si>
  <si>
    <t>081-9364736</t>
  </si>
  <si>
    <t>23630412</t>
  </si>
  <si>
    <t>ชลธิดา</t>
  </si>
  <si>
    <t>แปลงประสพโชค</t>
  </si>
  <si>
    <t>Miss  Cholthida  Plangprasopchok</t>
  </si>
  <si>
    <t>23630453</t>
  </si>
  <si>
    <t>ภานิชา</t>
  </si>
  <si>
    <t>กระต่ายจันทร์</t>
  </si>
  <si>
    <t>Miss  Panicha  Krataijan</t>
  </si>
  <si>
    <t>23630454</t>
  </si>
  <si>
    <t>มัททรี</t>
  </si>
  <si>
    <t>ยุคะรัง</t>
  </si>
  <si>
    <t>Miss  Matsee  Yukarang</t>
  </si>
  <si>
    <t>23630492</t>
  </si>
  <si>
    <t>กัญญารัตน์</t>
  </si>
  <si>
    <t>นวรัตนไพบูลย์</t>
  </si>
  <si>
    <t>Ms.  Kanyarat  Nawarattanaphaiboon</t>
  </si>
  <si>
    <t>23630145</t>
  </si>
  <si>
    <t>วรลักษณ์</t>
  </si>
  <si>
    <t>เพาะผล</t>
  </si>
  <si>
    <t>Miss  Woralak  Paophol</t>
  </si>
  <si>
    <t>23630073</t>
  </si>
  <si>
    <t>พิทยา</t>
  </si>
  <si>
    <t>แต้พานิช</t>
  </si>
  <si>
    <t>Mr.  Pittaya  Taepanich</t>
  </si>
  <si>
    <t>090-8804454</t>
  </si>
  <si>
    <t>23630074</t>
  </si>
  <si>
    <t>มีนา</t>
  </si>
  <si>
    <t>อภิวัฒนานนท์</t>
  </si>
  <si>
    <t>Miss  Meena  Apiwattananon</t>
  </si>
  <si>
    <t>090-8804453</t>
  </si>
  <si>
    <t>23630104</t>
  </si>
  <si>
    <t>กรรณิกา</t>
  </si>
  <si>
    <t>เณรรักษา</t>
  </si>
  <si>
    <t>Miss  Kannika  Nenragsa</t>
  </si>
  <si>
    <t>23630194</t>
  </si>
  <si>
    <t>สุพัตรา</t>
  </si>
  <si>
    <t>โพธิ์ศรีทอง</t>
  </si>
  <si>
    <t>Miss  Supattra  Phosithong</t>
  </si>
  <si>
    <t>23630230</t>
  </si>
  <si>
    <t>มนัสนันท์</t>
  </si>
  <si>
    <t>พรมพันธ์ใจ</t>
  </si>
  <si>
    <t>Miss  Manatsanan  Prompunjai</t>
  </si>
  <si>
    <t>23630288</t>
  </si>
  <si>
    <t>เบญจภรณ์</t>
  </si>
  <si>
    <t>ทรัพย์วัฒน์</t>
  </si>
  <si>
    <t>Miss  Benjaporn  Sapwat</t>
  </si>
  <si>
    <t>23630289</t>
  </si>
  <si>
    <t>ศิวะกาญจน์</t>
  </si>
  <si>
    <t>กลิ่นมาหอม</t>
  </si>
  <si>
    <t>Miss  Siwakarn  Klinmahom</t>
  </si>
  <si>
    <t>23630329</t>
  </si>
  <si>
    <t>อิสราภรณ์</t>
  </si>
  <si>
    <t>Miss  Israporn  Arsakhun</t>
  </si>
  <si>
    <t>23630401</t>
  </si>
  <si>
    <t>เฟื่องฟ้า</t>
  </si>
  <si>
    <t>มะลิปะทิน</t>
  </si>
  <si>
    <t>Miss  Faungfa  Malipatin</t>
  </si>
  <si>
    <t>23630095</t>
  </si>
  <si>
    <t>วีรียา</t>
  </si>
  <si>
    <t>ฉายดล</t>
  </si>
  <si>
    <t>Miss  Vereya  Chaidol</t>
  </si>
  <si>
    <t xml:space="preserve"> Tax Planning and Services Division Manager</t>
  </si>
  <si>
    <t xml:space="preserve"> ผู้จัดการส่วนวางแผนภาษีองค์กร</t>
  </si>
  <si>
    <t>FAM3</t>
  </si>
  <si>
    <t>ส่วนบัญชีและภาษี IPP และพื้นที่อื่น</t>
  </si>
  <si>
    <t>23630287</t>
  </si>
  <si>
    <t>วัชรา</t>
  </si>
  <si>
    <t>มงคลศิริ</t>
  </si>
  <si>
    <t>Miss  Watchara  Mongkolsiri</t>
  </si>
  <si>
    <t>23630378</t>
  </si>
  <si>
    <t>ศุทธินี</t>
  </si>
  <si>
    <t>อภิทัศน์สิน</t>
  </si>
  <si>
    <t>Miss  Suttinee  Apitatsin</t>
  </si>
  <si>
    <t>23630438</t>
  </si>
  <si>
    <t>กฤษณา</t>
  </si>
  <si>
    <t>รุจิระตระกูล</t>
  </si>
  <si>
    <t>Miss  Kritsana  Rujiratrakul</t>
  </si>
  <si>
    <t>092-2527321</t>
  </si>
  <si>
    <t>23630442</t>
  </si>
  <si>
    <t>เจริญเรืองยุทธ</t>
  </si>
  <si>
    <t>Miss  Duangporn  Charoenrueangyuth</t>
  </si>
  <si>
    <t>FAS</t>
  </si>
  <si>
    <t>23610020</t>
  </si>
  <si>
    <t>ศรายุทธ</t>
  </si>
  <si>
    <t>ศรีนรดิษฐ์เลิศ</t>
  </si>
  <si>
    <t>Mr.  Sarayut  Srinoradithlert</t>
  </si>
  <si>
    <t xml:space="preserve"> Finance Officer</t>
  </si>
  <si>
    <t xml:space="preserve"> พนักงานการเงิน</t>
  </si>
  <si>
    <t>FBM</t>
  </si>
  <si>
    <t>ส่วนวิเคราะห์ธุรกิจ</t>
  </si>
  <si>
    <t>ฝ่ายวิเคราะห์ธุรกิจและงบประมาณ</t>
  </si>
  <si>
    <t>23630480</t>
  </si>
  <si>
    <t>นภัสสร</t>
  </si>
  <si>
    <t>ชินกุลประสาน</t>
  </si>
  <si>
    <t>Miss  Napatsorn  Chingulprasan</t>
  </si>
  <si>
    <t>23630481</t>
  </si>
  <si>
    <t>ญาณินท์</t>
  </si>
  <si>
    <t>วงษ์ท่าเรือ</t>
  </si>
  <si>
    <t>Miss  Yanin  Wongtharua</t>
  </si>
  <si>
    <t xml:space="preserve"> Financial Officer</t>
  </si>
  <si>
    <t>23620001</t>
  </si>
  <si>
    <t>ศิโรบล</t>
  </si>
  <si>
    <t>บุญถาวร</t>
  </si>
  <si>
    <t>Mrs.  Sirobon  Boontaworn</t>
  </si>
  <si>
    <t xml:space="preserve"> Senior Vice President Corporate Finance</t>
  </si>
  <si>
    <t xml:space="preserve"> ผู้จัดการฝ่ายอาวุโสการเงินองค์กร</t>
  </si>
  <si>
    <t>FFS</t>
  </si>
  <si>
    <t>23630451</t>
  </si>
  <si>
    <t>รภัสวิสาข์</t>
  </si>
  <si>
    <t>บุญยังวสุโชค</t>
  </si>
  <si>
    <t>Miss  Rapasvisa  Bunyangwasuchoke</t>
  </si>
  <si>
    <t>23640003</t>
  </si>
  <si>
    <t>รติพร</t>
  </si>
  <si>
    <t>รัตนธราธร</t>
  </si>
  <si>
    <t>Miss  Ratiporn  Ratanatharathorn</t>
  </si>
  <si>
    <t>FGM</t>
  </si>
  <si>
    <t>ส่วนประมาณการการเงินและบริหารงบประมาณ</t>
  </si>
  <si>
    <t>23560133</t>
  </si>
  <si>
    <t>จตุรงค์</t>
  </si>
  <si>
    <t>ยลแย้ม</t>
  </si>
  <si>
    <t>Mr.  Chaturong  Yolyaem</t>
  </si>
  <si>
    <t xml:space="preserve"> Financial Forecasting and Budgeting (Acting)</t>
  </si>
  <si>
    <t xml:space="preserve"> รักษาการผู้จัดการส่วนประมาณการการเงินและบริหารงบประมาณ</t>
  </si>
  <si>
    <t>23620028</t>
  </si>
  <si>
    <t>ภัทชุดา</t>
  </si>
  <si>
    <t>ตันตระวรศิลป์</t>
  </si>
  <si>
    <t>Ms.  Patchuda  Tuntrawarasilp</t>
  </si>
  <si>
    <t>23630475</t>
  </si>
  <si>
    <t>ญาณิศา</t>
  </si>
  <si>
    <t>นิสสระ</t>
  </si>
  <si>
    <t>Ms.  Yanisa  Nissara</t>
  </si>
  <si>
    <t>23630503</t>
  </si>
  <si>
    <t>เพทาย</t>
  </si>
  <si>
    <t>ไพโรจน์สกุล</t>
  </si>
  <si>
    <t>Mr.  Pathai  Pairojsakul</t>
  </si>
  <si>
    <t xml:space="preserve"> Internal Investment Banking (M&amp;A) Division Manager</t>
  </si>
  <si>
    <t xml:space="preserve"> ผู้จัดการส่วนกลยุทธ์การลงทุน</t>
  </si>
  <si>
    <t>FIM</t>
  </si>
  <si>
    <t>ส่วนกลยุทธ์การลงทุน</t>
  </si>
  <si>
    <t>ฝ่ายการเงินองค์กร</t>
  </si>
  <si>
    <t>23630484</t>
  </si>
  <si>
    <t>จรสพล</t>
  </si>
  <si>
    <t>สงวนทรัพย์ทวี</t>
  </si>
  <si>
    <t>Mr.  Jarospol  Sanguansubtavee</t>
  </si>
  <si>
    <t>23630082</t>
  </si>
  <si>
    <t>สุทธาสินี</t>
  </si>
  <si>
    <t>เพ็งทรัพย์</t>
  </si>
  <si>
    <t>Miss  Suttasinee  Pengsupaya</t>
  </si>
  <si>
    <t xml:space="preserve"> Senior Vice President of Chief Financial Officer, GPSC Tax Management Improveme</t>
  </si>
  <si>
    <t xml:space="preserve"> ผู้จัดการฝ่ายอาวุโส ประจำประธานเจ้าหน้าที่บริหารการเงิน โครงการปรับปรุงการบริหา GPSC</t>
  </si>
  <si>
    <t>FIS</t>
  </si>
  <si>
    <t>081-1715469</t>
  </si>
  <si>
    <t>23560148</t>
  </si>
  <si>
    <t>พิชามญชุ์</t>
  </si>
  <si>
    <t>อุทัยรัตน์</t>
  </si>
  <si>
    <t>Miss  Pichamon  Uthairat</t>
  </si>
  <si>
    <t xml:space="preserve"> M&amp;A Accounting and Tax Strategy  Division Manager</t>
  </si>
  <si>
    <t xml:space="preserve"> ผู้จัดการส่วนกลยุทธ์บัญชี และภาษีองค์กร (M&amp;A)</t>
  </si>
  <si>
    <t>FMM</t>
  </si>
  <si>
    <t>ส่วนกลยุทธ์บัญชี และภาษีองค์กร (M&amp;A)</t>
  </si>
  <si>
    <t>086-8304907</t>
  </si>
  <si>
    <t>23630092</t>
  </si>
  <si>
    <t>ชุลีกร</t>
  </si>
  <si>
    <t>ศรีสุวรรณนิเวศ</t>
  </si>
  <si>
    <t>Miss  Chuleekorn  Srisuwanniwate</t>
  </si>
  <si>
    <t>23630479</t>
  </si>
  <si>
    <t>อภิสรา</t>
  </si>
  <si>
    <t>เสนางคนิกร</t>
  </si>
  <si>
    <t>Miss  Apisara  Senangkanikorn</t>
  </si>
  <si>
    <t>23620035</t>
  </si>
  <si>
    <t>เอกพจน์</t>
  </si>
  <si>
    <t>แสงเขียว</t>
  </si>
  <si>
    <t>Mr.  Ekapot  Sangkeo</t>
  </si>
  <si>
    <t xml:space="preserve"> Financial Policy &amp; Financial Research Center Division Manager</t>
  </si>
  <si>
    <t xml:space="preserve"> ผู้จัดการส่วนนโยบายการเงินและศูนย์วิจัย</t>
  </si>
  <si>
    <t>FPM</t>
  </si>
  <si>
    <t>ส่วนนโยบายการเงินและศูนย์วิจัย</t>
  </si>
  <si>
    <t>23620055</t>
  </si>
  <si>
    <t>พริมา</t>
  </si>
  <si>
    <t>ผดุงสิทธิ์</t>
  </si>
  <si>
    <t>Ms.  Parima  Phadungsit</t>
  </si>
  <si>
    <t>23630242</t>
  </si>
  <si>
    <t>พัชรา</t>
  </si>
  <si>
    <t>จรูญวุฒิธรรม</t>
  </si>
  <si>
    <t>Mrs.  Patchara  Jaroonvuthitham</t>
  </si>
  <si>
    <t xml:space="preserve"> Vice President Business Performance and Budgeting Analysis, Acting</t>
  </si>
  <si>
    <t xml:space="preserve"> รักษาการผู้จัดการฝ่ายวิเคราะห์ธุรกิจและงบประมาณ</t>
  </si>
  <si>
    <t>FPS</t>
  </si>
  <si>
    <t>085-2328787</t>
  </si>
  <si>
    <t>23630399</t>
  </si>
  <si>
    <t>ชนิษฐ์นันต์</t>
  </si>
  <si>
    <t>เชียงศิริ</t>
  </si>
  <si>
    <t>Miss  Chanitnun  Chiangsiri</t>
  </si>
  <si>
    <t>23570001</t>
  </si>
  <si>
    <t>พงษ์ศักดิ์</t>
  </si>
  <si>
    <t>พลายงาม</t>
  </si>
  <si>
    <t>Mr.  Pongsak  Plaingam</t>
  </si>
  <si>
    <t xml:space="preserve"> Investor Relations Division Manager</t>
  </si>
  <si>
    <t xml:space="preserve"> ผู้จัดการส่วนผู้ลงทุนสัมพันธ์</t>
  </si>
  <si>
    <t>FRM</t>
  </si>
  <si>
    <t>ส่วนผู้ลงทุนสัมพันธ์</t>
  </si>
  <si>
    <t>23620029</t>
  </si>
  <si>
    <t>สุธาทิพ</t>
  </si>
  <si>
    <t>เจริญกิจ</t>
  </si>
  <si>
    <t>Ms.  Suthathip  Charoenkij</t>
  </si>
  <si>
    <t xml:space="preserve"> Investor Relations Officer</t>
  </si>
  <si>
    <t xml:space="preserve"> พนักงานลงทุนสัมพันธ์</t>
  </si>
  <si>
    <t>23620058</t>
  </si>
  <si>
    <t>พิมพัทธ</t>
  </si>
  <si>
    <t>วีรวรรณภิญโญ</t>
  </si>
  <si>
    <t>Ms.  Pimpat  Veerawanpinyo</t>
  </si>
  <si>
    <t>23630411</t>
  </si>
  <si>
    <t>วิริยา</t>
  </si>
  <si>
    <t>ทัศนภากร</t>
  </si>
  <si>
    <t>Miss  Viriya  Tassanabhakorn</t>
  </si>
  <si>
    <t xml:space="preserve"> Investor Relations Manager</t>
  </si>
  <si>
    <t xml:space="preserve"> ผู้จัดการผู้ลงทุนสัมพันธ์</t>
  </si>
  <si>
    <t>23630059</t>
  </si>
  <si>
    <t>ณิชาภัทร</t>
  </si>
  <si>
    <t>ศรีทินนท์</t>
  </si>
  <si>
    <t>Miss  Nichabhat  Srithinond</t>
  </si>
  <si>
    <t>FSM</t>
  </si>
  <si>
    <t>ส่วนบริการการเงินองค์กร</t>
  </si>
  <si>
    <t>23630172</t>
  </si>
  <si>
    <t>สมาพร</t>
  </si>
  <si>
    <t>ประทักษ์กุลวงศา</t>
  </si>
  <si>
    <t>Miss  Samaporn  Pratakkulwongsa</t>
  </si>
  <si>
    <t>23630229</t>
  </si>
  <si>
    <t>ชุตินธร</t>
  </si>
  <si>
    <t>สุขลิ้ม</t>
  </si>
  <si>
    <t>Miss  Chutintorn  Sooklim</t>
  </si>
  <si>
    <t>23560037</t>
  </si>
  <si>
    <t>วราภรณ์</t>
  </si>
  <si>
    <t>เอกวิริยกิจ</t>
  </si>
  <si>
    <t>Miss  Waraporn  Eakviriyakit</t>
  </si>
  <si>
    <t>23620003</t>
  </si>
  <si>
    <t>รมิดา</t>
  </si>
  <si>
    <t>ใจธรรม</t>
  </si>
  <si>
    <t>Mrs.  Ramida  Jaitham</t>
  </si>
  <si>
    <t>23560191</t>
  </si>
  <si>
    <t>วาสนา</t>
  </si>
  <si>
    <t>ขจรศักดิพันธ์</t>
  </si>
  <si>
    <t>Mrs.  Wasana  Kajohnsakdipant</t>
  </si>
  <si>
    <t>23560117</t>
  </si>
  <si>
    <t>จันจิรา</t>
  </si>
  <si>
    <t>ขจรกลิ่น</t>
  </si>
  <si>
    <t>Miss  Junjira  Khajornklin</t>
  </si>
  <si>
    <t>23630504</t>
  </si>
  <si>
    <t>ธนบูรณ์</t>
  </si>
  <si>
    <t>เลาหชัยนาม</t>
  </si>
  <si>
    <t>Mr.  Tanaboon  Lawhachainam</t>
  </si>
  <si>
    <t>FVV</t>
  </si>
  <si>
    <t>หน่วยวางแผนการเงินและประเมินมูลค่า</t>
  </si>
  <si>
    <t>23590004</t>
  </si>
  <si>
    <t>ปาริฉัตร</t>
  </si>
  <si>
    <t>กานต์ประชา</t>
  </si>
  <si>
    <t>Miss  Parichat  Karnpracha</t>
  </si>
  <si>
    <t xml:space="preserve"> Division Manager, Vice President Financial Planning and Valuation</t>
  </si>
  <si>
    <t xml:space="preserve"> ผู้จัดการส่วน ปฏิบัติงาน ผู้จัดการฝ่ายวางแผนการเงินและประเมินมูลค่า</t>
  </si>
  <si>
    <t>061-402-7489</t>
  </si>
  <si>
    <t>23630436</t>
  </si>
  <si>
    <t>บุญมีนา</t>
  </si>
  <si>
    <t>Miss  Duangporn  Boonmeena</t>
  </si>
  <si>
    <t>23630450</t>
  </si>
  <si>
    <t>อภิสิทธิ์</t>
  </si>
  <si>
    <t>พันธุรัตน์</t>
  </si>
  <si>
    <t>Mr.  Apisith  Panturath</t>
  </si>
  <si>
    <t>23630491</t>
  </si>
  <si>
    <t>ฐานิศ</t>
  </si>
  <si>
    <t>เจนจบ</t>
  </si>
  <si>
    <t>Mr.  Thanis  Jenjob</t>
  </si>
  <si>
    <t>23640004</t>
  </si>
  <si>
    <t>ผุสดี</t>
  </si>
  <si>
    <t>รัดหน</t>
  </si>
  <si>
    <t>Miss  Phussadee  Radhon</t>
  </si>
  <si>
    <t xml:space="preserve"> Company Secretary Officer</t>
  </si>
  <si>
    <t xml:space="preserve"> พนักงานเลขานุการบริษัท</t>
  </si>
  <si>
    <t>GCM</t>
  </si>
  <si>
    <t>ส่วนสำนักกรรมการผู้จัดการใหญ่</t>
  </si>
  <si>
    <t>ฝ่ายเลขานุการบริษัทและกำกับกิจการองค์กร</t>
  </si>
  <si>
    <t>23560194</t>
  </si>
  <si>
    <t>จิราพร</t>
  </si>
  <si>
    <t>มากรักษา</t>
  </si>
  <si>
    <t>Miss  Jiraporn  Markraksa</t>
  </si>
  <si>
    <t>0944478825</t>
  </si>
  <si>
    <t>23580031</t>
  </si>
  <si>
    <t>ปนิตา</t>
  </si>
  <si>
    <t>วงศ์วัฒนศานต์</t>
  </si>
  <si>
    <t>Miss  Panita  Wongwattanasan</t>
  </si>
  <si>
    <t>23600015</t>
  </si>
  <si>
    <t>สิริพร</t>
  </si>
  <si>
    <t>กิตติวราทรัพย์</t>
  </si>
  <si>
    <t>Miss  Siriporn  Kittiwarasap</t>
  </si>
  <si>
    <t xml:space="preserve"> Senior Company Secretary Officer</t>
  </si>
  <si>
    <t xml:space="preserve"> พนักงานเลขานุการบริษัทอาวุโส</t>
  </si>
  <si>
    <t>0986549956</t>
  </si>
  <si>
    <t>23610002</t>
  </si>
  <si>
    <t>พัชราภา</t>
  </si>
  <si>
    <t>จันทิก</t>
  </si>
  <si>
    <t>Miss  Patcharapa  Chanthick</t>
  </si>
  <si>
    <t xml:space="preserve"> Office of Chief Executive Officer Division Manager</t>
  </si>
  <si>
    <t xml:space="preserve"> ผู้จัดการส่วนสำนักกรรมการผู้จัดการใหญ่</t>
  </si>
  <si>
    <t>-085 001 3390</t>
  </si>
  <si>
    <t>23630009</t>
  </si>
  <si>
    <t>ภาสพงศ์</t>
  </si>
  <si>
    <t>ลิ่มสุวรรณ์</t>
  </si>
  <si>
    <t>Mr.  Passapong  Limsuwan</t>
  </si>
  <si>
    <t>23610017</t>
  </si>
  <si>
    <t>พัชณียา</t>
  </si>
  <si>
    <t>มไหสวริยะ</t>
  </si>
  <si>
    <t>Miss  Patchaneeya  Mahaisavariya</t>
  </si>
  <si>
    <t xml:space="preserve"> Corporate Governance and Compliance Division Manager</t>
  </si>
  <si>
    <t xml:space="preserve"> ผู้จัดการส่วนกำกับกฎหมายและกฎระเบียบองค์กร</t>
  </si>
  <si>
    <t>GGM</t>
  </si>
  <si>
    <t>ส่วนกำกับกฎหมายและกฎระเบียบองค์กร</t>
  </si>
  <si>
    <t>0632194574</t>
  </si>
  <si>
    <t>23620026</t>
  </si>
  <si>
    <t>อาทิตยาภา</t>
  </si>
  <si>
    <t>มณีโชติ</t>
  </si>
  <si>
    <t>Ms.  Artitayapha  Maneechote</t>
  </si>
  <si>
    <t xml:space="preserve"> Senior Compliance Officer</t>
  </si>
  <si>
    <t xml:space="preserve"> พนักงานกำกับดูแลองค์กรอาวุโส</t>
  </si>
  <si>
    <t>23580040</t>
  </si>
  <si>
    <t>ปวรพัชร์</t>
  </si>
  <si>
    <t>กัญจนวัตตะ</t>
  </si>
  <si>
    <t>Miss  Pavornpat  Kunjanawatta</t>
  </si>
  <si>
    <t xml:space="preserve"> Internal Control</t>
  </si>
  <si>
    <t xml:space="preserve"> พนักงานควบคุมภายใน</t>
  </si>
  <si>
    <t>GIM</t>
  </si>
  <si>
    <t>ส่วนควบคุมภายในองค์กร</t>
  </si>
  <si>
    <t>-0992263653</t>
  </si>
  <si>
    <t>23570033</t>
  </si>
  <si>
    <t>ปฐมาภรณ์</t>
  </si>
  <si>
    <t>ประสงค์ผล</t>
  </si>
  <si>
    <t>Miss  Patamaporn  Prasongpol</t>
  </si>
  <si>
    <t xml:space="preserve"> DM, Corporate Secretary and Corporate Governance and Affairs</t>
  </si>
  <si>
    <t xml:space="preserve"> ผู้จัดการส่วน ประจำฝ่ายเลขานุการบริษัทและกำกับกิจการองค์กร</t>
  </si>
  <si>
    <t>GNS</t>
  </si>
  <si>
    <t>0813719789</t>
  </si>
  <si>
    <t>23620030</t>
  </si>
  <si>
    <t>พัลลภา</t>
  </si>
  <si>
    <t>อชานนท์</t>
  </si>
  <si>
    <t>Miss  Pallapa  Achanon</t>
  </si>
  <si>
    <t xml:space="preserve"> Senior Vice President Company Secretary and Corporate Governance</t>
  </si>
  <si>
    <t xml:space="preserve"> ผู้จัดการฝ่ายอาวุโสเลขานุการบริษัทและกำกับกิจการองค์กร</t>
  </si>
  <si>
    <t>23630137</t>
  </si>
  <si>
    <t>พินิจ</t>
  </si>
  <si>
    <t>เนินฉาย</t>
  </si>
  <si>
    <t>Mr.  Phinit  Nernchay</t>
  </si>
  <si>
    <t xml:space="preserve"> Security, Safety, Occupational Health and Environment Manager</t>
  </si>
  <si>
    <t xml:space="preserve"> ผู้จัดการความมั่นคงปลอดภัย อาชีวอนามัย และสิ่งแวดล้อม</t>
  </si>
  <si>
    <t>HEM</t>
  </si>
  <si>
    <t>ส่วนความมั่นคงปลอดภัย อาชีวฯ พท.มาบตาพุด</t>
  </si>
  <si>
    <t>ฝ่ายความมั่นคงปลอดภัย อาชีวอนามัยฯ</t>
  </si>
  <si>
    <t>089-2056724</t>
  </si>
  <si>
    <t>23560088</t>
  </si>
  <si>
    <t>ลีธนวัฒน์</t>
  </si>
  <si>
    <t>Mr.  Amnat  Leethanawat</t>
  </si>
  <si>
    <t xml:space="preserve"> ผู้จัดการความมั่นคงปลอดภัย</t>
  </si>
  <si>
    <t>GPSC CUP3-F</t>
  </si>
  <si>
    <t>0818619437</t>
  </si>
  <si>
    <t>23560044</t>
  </si>
  <si>
    <t>นัทชธีร์ญา</t>
  </si>
  <si>
    <t>บัวสรวง</t>
  </si>
  <si>
    <t>Mrs.  Natchatheeya  Buasuang</t>
  </si>
  <si>
    <t xml:space="preserve"> GPSC Plant SHE Division Manager</t>
  </si>
  <si>
    <t xml:space="preserve"> ผู้จัดการส่วนความมั่นคงปลอดภัย อาชีวอนามัย และสิ่งแวดล้อม GPSC</t>
  </si>
  <si>
    <t>0813473321</t>
  </si>
  <si>
    <t>23560132</t>
  </si>
  <si>
    <t>พงศ์เทพ</t>
  </si>
  <si>
    <t>ผ้าแดง</t>
  </si>
  <si>
    <t>Mr.  Pongtep  Phadang</t>
  </si>
  <si>
    <t xml:space="preserve"> Security, Safety, Occupational Health and Environment Officer</t>
  </si>
  <si>
    <t xml:space="preserve"> พนักงานความมั่นคงปลอดภัย อาชีวอนามัย และสิ่งแวดล้อม</t>
  </si>
  <si>
    <t>0844398113</t>
  </si>
  <si>
    <t>23560186</t>
  </si>
  <si>
    <t>อังสนา</t>
  </si>
  <si>
    <t>ทองอำไพ</t>
  </si>
  <si>
    <t>Miss  Angsana  Thongumpai</t>
  </si>
  <si>
    <t>0967139936</t>
  </si>
  <si>
    <t>23560084</t>
  </si>
  <si>
    <t>จีรศักดิ์</t>
  </si>
  <si>
    <t>พันธ์ศรี</t>
  </si>
  <si>
    <t>Mr.  Jeerasak  Phansri</t>
  </si>
  <si>
    <t>23620006</t>
  </si>
  <si>
    <t>ธนธรณ์</t>
  </si>
  <si>
    <t>บ่อหลี</t>
  </si>
  <si>
    <t>Mr.  Thanathorn  Borlee</t>
  </si>
  <si>
    <t>23630193</t>
  </si>
  <si>
    <t>อุมารินทร์</t>
  </si>
  <si>
    <t>พันธ์เผือก</t>
  </si>
  <si>
    <t>Miss  Umarin  Punpouk</t>
  </si>
  <si>
    <t>GPSC RYG : GHECO-One</t>
  </si>
  <si>
    <t>GPSC GHECO1-F</t>
  </si>
  <si>
    <t>084-7001544</t>
  </si>
  <si>
    <t>23630197</t>
  </si>
  <si>
    <t>แก้วปริมประ</t>
  </si>
  <si>
    <t>Mrs.  Pinit  Kaewprimpra</t>
  </si>
  <si>
    <t>081-1742516</t>
  </si>
  <si>
    <t>23630256</t>
  </si>
  <si>
    <t>มานิต</t>
  </si>
  <si>
    <t>เหลาชัย</t>
  </si>
  <si>
    <t>Mr.  Manit  Laochai</t>
  </si>
  <si>
    <t>23630252</t>
  </si>
  <si>
    <t>ไกรศร</t>
  </si>
  <si>
    <t>เวลาเกิด</t>
  </si>
  <si>
    <t>Mr.  Graisorn  Welagird</t>
  </si>
  <si>
    <t>23630276</t>
  </si>
  <si>
    <t>เทพประสิทธิ์</t>
  </si>
  <si>
    <t>ไพลินอนันต์</t>
  </si>
  <si>
    <t>Mr.  Thepprasit  Pailin-a-nan</t>
  </si>
  <si>
    <t>23630303</t>
  </si>
  <si>
    <t>เดชา</t>
  </si>
  <si>
    <t>เสโส</t>
  </si>
  <si>
    <t>Mr.  Decha  Seso</t>
  </si>
  <si>
    <t>23630332</t>
  </si>
  <si>
    <t>สุรชัย</t>
  </si>
  <si>
    <t>ชาติวิทยา</t>
  </si>
  <si>
    <t>Mr.  Surachai  Chatwittaya</t>
  </si>
  <si>
    <t>084-7009239</t>
  </si>
  <si>
    <t>23630363</t>
  </si>
  <si>
    <t>คทา</t>
  </si>
  <si>
    <t>ประภาสะวัต</t>
  </si>
  <si>
    <t>Mr.  Katha  Prabhasavat</t>
  </si>
  <si>
    <t>081-1733780</t>
  </si>
  <si>
    <t>23560085</t>
  </si>
  <si>
    <t>เสาร์ชัย</t>
  </si>
  <si>
    <t>สุขเกษม</t>
  </si>
  <si>
    <t>Mr.  Saochai  Sookkasem</t>
  </si>
  <si>
    <t xml:space="preserve"> Designation Senior Vice President - SSHE</t>
  </si>
  <si>
    <t xml:space="preserve"> ผจ.ฝ่ายอาวุโสความมั่นคงปลอดภัย อาชีวอนามัย และสิ่งแวดล้อม</t>
  </si>
  <si>
    <t>HES</t>
  </si>
  <si>
    <t>23630122</t>
  </si>
  <si>
    <t>โสรยา</t>
  </si>
  <si>
    <t>เริ่มวานิชย์</t>
  </si>
  <si>
    <t>Mrs.  Soraya  Raemwanith</t>
  </si>
  <si>
    <t xml:space="preserve"> Security,Safety,Occupational Health&amp;Environment Policy Mgt Mgr</t>
  </si>
  <si>
    <t xml:space="preserve"> ผจ.บริหารนโยบายความมั่นคงปลอดภัย อาชีวอนามัย และสิ่งแวดล้อม</t>
  </si>
  <si>
    <t>089-2057038</t>
  </si>
  <si>
    <t>23630366</t>
  </si>
  <si>
    <t>ณภัสภรณ์</t>
  </si>
  <si>
    <t>ดรุณศิลป์</t>
  </si>
  <si>
    <t>Miss  Napatsaporn  Darunsin</t>
  </si>
  <si>
    <t>081-1715465</t>
  </si>
  <si>
    <t>23620034</t>
  </si>
  <si>
    <t>กิ่งกาญจน์</t>
  </si>
  <si>
    <t>เข็มลาด</t>
  </si>
  <si>
    <t>Ms.  Kingkarn  Khemlad</t>
  </si>
  <si>
    <t>HGM</t>
  </si>
  <si>
    <t>ส่วนความมั่นคงปลอดภัย อาชีวฯ พท.อื่นๆ</t>
  </si>
  <si>
    <t>23600016</t>
  </si>
  <si>
    <t>สาธิยา</t>
  </si>
  <si>
    <t>อังคประเสริฐกุล</t>
  </si>
  <si>
    <t>Miss  Satiya  Angkaprasertkun</t>
  </si>
  <si>
    <t>23630185</t>
  </si>
  <si>
    <t>วัลลพ</t>
  </si>
  <si>
    <t>กล้าหาญ</t>
  </si>
  <si>
    <t>Mr.  Wanlop  Klahan</t>
  </si>
  <si>
    <t xml:space="preserve"> GLOW Plant SHE Division Manager</t>
  </si>
  <si>
    <t xml:space="preserve"> รักษาการผู้จัดการส่วนความมั่นคงปลอดภัย อาชีวอนามัย และสิ่งแวดล้อม GLOW</t>
  </si>
  <si>
    <t>089-2059274</t>
  </si>
  <si>
    <t>23630337</t>
  </si>
  <si>
    <t>ธีระพันธุ์</t>
  </si>
  <si>
    <t>พรหมจักร์</t>
  </si>
  <si>
    <t>Mr.  Theerapan  Promjuk</t>
  </si>
  <si>
    <t>23630236</t>
  </si>
  <si>
    <t>เอกชัย</t>
  </si>
  <si>
    <t>วิมูล</t>
  </si>
  <si>
    <t>Mr.  Egkachai  Wimoon</t>
  </si>
  <si>
    <t>085-6605036</t>
  </si>
  <si>
    <t>23630278</t>
  </si>
  <si>
    <t>แสวงบุญราศรี</t>
  </si>
  <si>
    <t>Mr.  Apichart  Swangboonrasri</t>
  </si>
  <si>
    <t>081-1715463</t>
  </si>
  <si>
    <t>23600021</t>
  </si>
  <si>
    <t>ณีรนาจ</t>
  </si>
  <si>
    <t>ช่างกลึงดี</t>
  </si>
  <si>
    <t>Mrs.  Neeranart  Changklungdee</t>
  </si>
  <si>
    <t xml:space="preserve"> Quality Management Officer</t>
  </si>
  <si>
    <t xml:space="preserve"> พนักงานบริหารคุณภาพสายงานปฏิบัติการ</t>
  </si>
  <si>
    <t>HMT</t>
  </si>
  <si>
    <t>แผนกบริหารคุณภาพสายงานปฏิบัติการ</t>
  </si>
  <si>
    <t>23630313</t>
  </si>
  <si>
    <t>สมเกียรติ</t>
  </si>
  <si>
    <t>ปุยะติ</t>
  </si>
  <si>
    <t>Mr.  Somkiat  Puyati</t>
  </si>
  <si>
    <t xml:space="preserve"> Quality Management Section Manager</t>
  </si>
  <si>
    <t xml:space="preserve"> ผู้จัดการแผนกบริหารคุณภาพสายงานปฏิบัติการ</t>
  </si>
  <si>
    <t>085-6605023</t>
  </si>
  <si>
    <t>23610028</t>
  </si>
  <si>
    <t>อรยา</t>
  </si>
  <si>
    <t>อึงชุมโชค</t>
  </si>
  <si>
    <t>Miss  Oraya  Ungchoomchoke</t>
  </si>
  <si>
    <t xml:space="preserve"> Senior Internal Auditor</t>
  </si>
  <si>
    <t xml:space="preserve"> พนักงานตรวจสอบอาวุโส</t>
  </si>
  <si>
    <t>IAM</t>
  </si>
  <si>
    <t>ส่วนตรวจสอบภายในองค์กร</t>
  </si>
  <si>
    <t>ฝ่ายตรวจสอบภายในองค์กร</t>
  </si>
  <si>
    <t>23630002</t>
  </si>
  <si>
    <t>พลกฤต</t>
  </si>
  <si>
    <t>พุ่มคำ</t>
  </si>
  <si>
    <t>Mr.  Ponlakit  Pumkham</t>
  </si>
  <si>
    <t xml:space="preserve"> Internal Auditor</t>
  </si>
  <si>
    <t xml:space="preserve"> พนักงานตรวจสอบ</t>
  </si>
  <si>
    <t>23600007</t>
  </si>
  <si>
    <t>แซ่หวั่น</t>
  </si>
  <si>
    <t>Miss  Suphattra  Sae-wan</t>
  </si>
  <si>
    <t>IAS</t>
  </si>
  <si>
    <t>082-7978913</t>
  </si>
  <si>
    <t>23600028</t>
  </si>
  <si>
    <t>อรรถยา</t>
  </si>
  <si>
    <t>สุโขธนัง</t>
  </si>
  <si>
    <t>Miss  Attayar  Sukotanang</t>
  </si>
  <si>
    <t xml:space="preserve"> Senior Vice President Corporate Internal Audit</t>
  </si>
  <si>
    <t xml:space="preserve"> ผู้จัดการฝ่ายอาวุโสตรวจสอบภายในองค์กร</t>
  </si>
  <si>
    <t>23610023</t>
  </si>
  <si>
    <t>เมลดา</t>
  </si>
  <si>
    <t>สุนทรบุรุษ</t>
  </si>
  <si>
    <t>Miss  Melada  Soontonburus</t>
  </si>
  <si>
    <t xml:space="preserve"> Division Manager secondment to IRPC-CP</t>
  </si>
  <si>
    <t xml:space="preserve"> ผู้จัดการส่วน ประจำประธานเจ้าหน้าที่บริหารการเงิน</t>
  </si>
  <si>
    <t>IRPC-CP</t>
  </si>
  <si>
    <t>บริษัท ไออาร์พีซี คลีนพาวเวอร์ จำกัด</t>
  </si>
  <si>
    <t>GPSC RYG : IRPC-CP</t>
  </si>
  <si>
    <t>23620005</t>
  </si>
  <si>
    <t>ธัญสมร</t>
  </si>
  <si>
    <t>ช่วยคล้าย</t>
  </si>
  <si>
    <t>Ms.  Tansamorn  Chuayklai</t>
  </si>
  <si>
    <t>ISM</t>
  </si>
  <si>
    <t>ส่วนตรวจสอบภายในบริษัทในเครือ</t>
  </si>
  <si>
    <t>23630157</t>
  </si>
  <si>
    <t>ชัยวุฒิ</t>
  </si>
  <si>
    <t>รัตนพรสินชัย</t>
  </si>
  <si>
    <t>Mr.  Chaiwut  Rattanapornsinchai</t>
  </si>
  <si>
    <t xml:space="preserve"> Subsidiary Internal Audit Division Manaager</t>
  </si>
  <si>
    <t xml:space="preserve"> ผู้จัดการส่วนตรวจสอบภายในบริษัทในเครือ</t>
  </si>
  <si>
    <t>089-2059279</t>
  </si>
  <si>
    <t>23620049</t>
  </si>
  <si>
    <t>ลัดดาวรรณ</t>
  </si>
  <si>
    <t>รัตนเรือง</t>
  </si>
  <si>
    <t>Ms.  Laddawan  Rattanaruang</t>
  </si>
  <si>
    <t xml:space="preserve"> Internal Audit Strategy &amp; IT Audit Division Manager</t>
  </si>
  <si>
    <t xml:space="preserve"> ผู้จัดการส่วนกลยุทธ์และตรวจสอบระบบสารสนเทศ</t>
  </si>
  <si>
    <t>ITM</t>
  </si>
  <si>
    <t>ส่วนกลยุทธ์และตรวจสอบระบบสารสนเทศ</t>
  </si>
  <si>
    <t>23560007</t>
  </si>
  <si>
    <t>อนุชา</t>
  </si>
  <si>
    <t>อักษรโสฬส</t>
  </si>
  <si>
    <t>Mr.  Anucha  Aksornsolot</t>
  </si>
  <si>
    <t xml:space="preserve"> Project Control Division Manager</t>
  </si>
  <si>
    <t xml:space="preserve"> ผู้จัดการส่วนควบคุมโครงการ</t>
  </si>
  <si>
    <t>JCM</t>
  </si>
  <si>
    <t>ส่วนควบคุมโครงการ</t>
  </si>
  <si>
    <t>ฝ่ายบริหารโครงการก่อสร้าง</t>
  </si>
  <si>
    <t>23560174</t>
  </si>
  <si>
    <t>พิพัฒน์</t>
  </si>
  <si>
    <t>ฐิติพัฒน์สกุล</t>
  </si>
  <si>
    <t>Mr.  Pipat  Thitipatsakul</t>
  </si>
  <si>
    <t xml:space="preserve"> Project Coordinator</t>
  </si>
  <si>
    <t xml:space="preserve"> พนักงานประสานงานโครงการ</t>
  </si>
  <si>
    <t>23570004</t>
  </si>
  <si>
    <t>แก้วการดี</t>
  </si>
  <si>
    <t>Mrs.  Bussakorn  Keawkarndee</t>
  </si>
  <si>
    <t>0949659649</t>
  </si>
  <si>
    <t>23600032</t>
  </si>
  <si>
    <t>ธีรภัทร</t>
  </si>
  <si>
    <t>มีเพียร</t>
  </si>
  <si>
    <t>Mr.  Theeraphat  Meepean</t>
  </si>
  <si>
    <t>0898144652</t>
  </si>
  <si>
    <t>23610034</t>
  </si>
  <si>
    <t>ภาษิต</t>
  </si>
  <si>
    <t>พนมมิตร</t>
  </si>
  <si>
    <t>Mr.  Pasit  Panommit</t>
  </si>
  <si>
    <t>0935965289</t>
  </si>
  <si>
    <t>23560080</t>
  </si>
  <si>
    <t>เลิศเจริญเสริมสุข</t>
  </si>
  <si>
    <t>Mr.  Somsak  Lertcharoensermsuk</t>
  </si>
  <si>
    <t xml:space="preserve"> Senior Vice President Project Construction Management</t>
  </si>
  <si>
    <t xml:space="preserve"> ผู้จัดการฝ่ายอาวุโสบริหารโครงการก่อสร้าง</t>
  </si>
  <si>
    <t>JCS</t>
  </si>
  <si>
    <t>0811704495</t>
  </si>
  <si>
    <t>23630078</t>
  </si>
  <si>
    <t>พิภพ</t>
  </si>
  <si>
    <t>ฉัตรภูติ</t>
  </si>
  <si>
    <t>Mr.  Pipop  Chatrabhuti</t>
  </si>
  <si>
    <t xml:space="preserve"> ผู้จัดการส่วน ประจำผู้จัดการฝ่ายอาวุโสบริหารโครงการก่อสร้าง</t>
  </si>
  <si>
    <t>081-1733782</t>
  </si>
  <si>
    <t>23560188</t>
  </si>
  <si>
    <t>สุนิสา</t>
  </si>
  <si>
    <t>สุวรรณ</t>
  </si>
  <si>
    <t>Miss  Sunisa  Suwan</t>
  </si>
  <si>
    <t>JCV</t>
  </si>
  <si>
    <t>หน่วยโครงการก่อสร้าง</t>
  </si>
  <si>
    <t>0639196569</t>
  </si>
  <si>
    <t>23600002</t>
  </si>
  <si>
    <t>จิรเมธ</t>
  </si>
  <si>
    <t>อุบลพูลผล</t>
  </si>
  <si>
    <t>Mr.  Jiramet  Ubonphulphol</t>
  </si>
  <si>
    <t>081-562-3995</t>
  </si>
  <si>
    <t>23600031</t>
  </si>
  <si>
    <t>ธนภัทร</t>
  </si>
  <si>
    <t>ศิริพุฒ</t>
  </si>
  <si>
    <t>Mr.  Tanapat  Siriput</t>
  </si>
  <si>
    <t>086-3756041</t>
  </si>
  <si>
    <t>23610025</t>
  </si>
  <si>
    <t>ทองนุ่ม</t>
  </si>
  <si>
    <t>Mr.  Somsak  Thongnum</t>
  </si>
  <si>
    <t xml:space="preserve"> Division Manager assign to Vice President Project Construction</t>
  </si>
  <si>
    <t xml:space="preserve"> ผู้จัดการส่วน ปฏิบัติหน้าที่ผู้จัดการฝ่ายโครงการก่อสร้าง</t>
  </si>
  <si>
    <t>0817022248</t>
  </si>
  <si>
    <t>23630004</t>
  </si>
  <si>
    <t>ปุณณภพ</t>
  </si>
  <si>
    <t>เมษสุวรรณ</t>
  </si>
  <si>
    <t>Mr.  Poonapob  Medsuwan</t>
  </si>
  <si>
    <t>23630493</t>
  </si>
  <si>
    <t>รชกร</t>
  </si>
  <si>
    <t>เสาวรัจ</t>
  </si>
  <si>
    <t>Mr.  Ratchakorn  Saowarat</t>
  </si>
  <si>
    <t>23560066</t>
  </si>
  <si>
    <t>ทรงวุฒิ</t>
  </si>
  <si>
    <t>ขวัญใจ</t>
  </si>
  <si>
    <t>Mr.  Songwut  Khwanjai</t>
  </si>
  <si>
    <t>-081-636-8603</t>
  </si>
  <si>
    <t>23560027</t>
  </si>
  <si>
    <t>อำนวย</t>
  </si>
  <si>
    <t>มณีทะ</t>
  </si>
  <si>
    <t>Mr.  Amnuay  Maneeta</t>
  </si>
  <si>
    <t xml:space="preserve"> Division Manager, ERU Project Manager</t>
  </si>
  <si>
    <t xml:space="preserve"> ผจ.ส่วน ปฏิบัติหน้าที่ Project Manager โครงการหน่วยผลิตไฟฟ้าและไอน้ำจากกากน้ำมั</t>
  </si>
  <si>
    <t>JEM</t>
  </si>
  <si>
    <t>โครงการหน่วยผลิตไฟฟ้าและไอน้ำจากกากน้ำมั</t>
  </si>
  <si>
    <t>23560052</t>
  </si>
  <si>
    <t>พลเชษฐ</t>
  </si>
  <si>
    <t>โตโภชนพันธุ์</t>
  </si>
  <si>
    <t>Mr.  Polchet  Tobhodchanapant</t>
  </si>
  <si>
    <t>23560195</t>
  </si>
  <si>
    <t>นพพล</t>
  </si>
  <si>
    <t>Mr.  Noppon  Mesabai</t>
  </si>
  <si>
    <t>23560020</t>
  </si>
  <si>
    <t>ศักดิ์ระวี</t>
  </si>
  <si>
    <t>วิริยโกศล</t>
  </si>
  <si>
    <t>Mr.  Sakravee  Viriyakoson</t>
  </si>
  <si>
    <t xml:space="preserve"> Vice President Project Engineering</t>
  </si>
  <si>
    <t xml:space="preserve"> ผู้จัดการฝ่ายวิศวกรรมโครงการ</t>
  </si>
  <si>
    <t>JEV</t>
  </si>
  <si>
    <t>หน่วยวิศวกรรมโครงการ</t>
  </si>
  <si>
    <t>0814803826</t>
  </si>
  <si>
    <t>23580007</t>
  </si>
  <si>
    <t>ศุภพิชญ์</t>
  </si>
  <si>
    <t>มณีสม</t>
  </si>
  <si>
    <t>Mr.  Supaphit  Maneesom</t>
  </si>
  <si>
    <t>23590009</t>
  </si>
  <si>
    <t>สุร</t>
  </si>
  <si>
    <t>มะลิซ้อน</t>
  </si>
  <si>
    <t>Mr.  Sura  Malisorn</t>
  </si>
  <si>
    <t>0850306112</t>
  </si>
  <si>
    <t>23590015</t>
  </si>
  <si>
    <t>ณัฐวุฒิ</t>
  </si>
  <si>
    <t>ปานจันทร์</t>
  </si>
  <si>
    <t>Mr.  Nattawut  Panjan</t>
  </si>
  <si>
    <t>23610033</t>
  </si>
  <si>
    <t>พจน์พิชาญ</t>
  </si>
  <si>
    <t>พวงมาลี</t>
  </si>
  <si>
    <t>Mr.  Pojpichan  Poungmalee</t>
  </si>
  <si>
    <t>0851674861</t>
  </si>
  <si>
    <t>23620050</t>
  </si>
  <si>
    <t>วิพารัตน์</t>
  </si>
  <si>
    <t>วงศาดิลักษณ์</t>
  </si>
  <si>
    <t>Ms.  Wiparat  Wongsadiluk</t>
  </si>
  <si>
    <t>23630457</t>
  </si>
  <si>
    <t>อริสา</t>
  </si>
  <si>
    <t>โควะวินทวีวัฒน์</t>
  </si>
  <si>
    <t>Miss  Arisa  Khowawinthaweewat</t>
  </si>
  <si>
    <t xml:space="preserve"> Senior Legal Officer</t>
  </si>
  <si>
    <t xml:space="preserve"> นิติกรอาวุโส</t>
  </si>
  <si>
    <t>LDM</t>
  </si>
  <si>
    <t>ส่วนที่ปรึกษากฎหมายพัฒนาธุรกิจ</t>
  </si>
  <si>
    <t>สำนักกฎหมายองค์กร</t>
  </si>
  <si>
    <t>23630498</t>
  </si>
  <si>
    <t>ภัทรภร</t>
  </si>
  <si>
    <t>เพ็ชรพงศ์</t>
  </si>
  <si>
    <t>Miss  Phattharaporn  Phetphong</t>
  </si>
  <si>
    <t xml:space="preserve"> Business Development Legal Advisory Division Manager</t>
  </si>
  <si>
    <t xml:space="preserve"> ผู้จัดการส่วนที่ปรึกษากฎหมายพัฒนาธุรกิจ</t>
  </si>
  <si>
    <t>23630469</t>
  </si>
  <si>
    <t>วรรณกาญจน์</t>
  </si>
  <si>
    <t>กาลนาน</t>
  </si>
  <si>
    <t>MISS  Wannagarn  Kanlanan</t>
  </si>
  <si>
    <t xml:space="preserve"> Legal Officer</t>
  </si>
  <si>
    <t xml:space="preserve"> นิติกร</t>
  </si>
  <si>
    <t>23600022</t>
  </si>
  <si>
    <t>ดุจดาว</t>
  </si>
  <si>
    <t>สุขสำราญ</t>
  </si>
  <si>
    <t>Miss  Dutdao  Suksamran</t>
  </si>
  <si>
    <t xml:space="preserve"> Senior Vice President Office of Legal</t>
  </si>
  <si>
    <t xml:space="preserve"> ผู้จัดการฝ่ายอาวุโสสำนักกฎหมายองค์กร</t>
  </si>
  <si>
    <t>LGS</t>
  </si>
  <si>
    <t>0655265395</t>
  </si>
  <si>
    <t>23630155</t>
  </si>
  <si>
    <t>กนกศรี</t>
  </si>
  <si>
    <t>ศิริมังคลวณิชย์</t>
  </si>
  <si>
    <t>Miss  Kanoksri  Sirimangkalawanit</t>
  </si>
  <si>
    <t xml:space="preserve"> Division Manager, Office of Corporate Legal</t>
  </si>
  <si>
    <t xml:space="preserve"> ผู้จัดการส่วน ประจำฝ่ายอาวุโสสำนักกฎหมายองค์กร</t>
  </si>
  <si>
    <t>085-4851429</t>
  </si>
  <si>
    <t>23630283</t>
  </si>
  <si>
    <t>กาญจนา</t>
  </si>
  <si>
    <t>มีแก้ว</t>
  </si>
  <si>
    <t>Miss  Kanchana  Mekaew</t>
  </si>
  <si>
    <t>LLM</t>
  </si>
  <si>
    <t>ส่วนกฎหมายธุรกิจและงานคดี</t>
  </si>
  <si>
    <t>23630293</t>
  </si>
  <si>
    <t>สุชา</t>
  </si>
  <si>
    <t>บุญมีพิพิธ</t>
  </si>
  <si>
    <t>Miss  Sucha  Boonmeepipit</t>
  </si>
  <si>
    <t>085-6604971</t>
  </si>
  <si>
    <t>23560169</t>
  </si>
  <si>
    <t>นรณัฏฐ์</t>
  </si>
  <si>
    <t>สิมารัตน์</t>
  </si>
  <si>
    <t>Mr.  Noranat  Simarat</t>
  </si>
  <si>
    <t xml:space="preserve"> Business Law and Litigation Division Manager</t>
  </si>
  <si>
    <t xml:space="preserve"> ผู้จัดการส่วนกฎหมายธุรกิจและงานคดี</t>
  </si>
  <si>
    <t>23580021</t>
  </si>
  <si>
    <t>จุฑามาศ</t>
  </si>
  <si>
    <t>บาลี</t>
  </si>
  <si>
    <t>Mrs  Juthamas  Barlee</t>
  </si>
  <si>
    <t>23600004</t>
  </si>
  <si>
    <t>ศิริน</t>
  </si>
  <si>
    <t>เทพสาลี</t>
  </si>
  <si>
    <t>Miss  Sirin  Thepsalee</t>
  </si>
  <si>
    <t>23630244</t>
  </si>
  <si>
    <t>ปภสร</t>
  </si>
  <si>
    <t>เพิ่มพูล</t>
  </si>
  <si>
    <t>Mrs.  Paphasorn  Puempool</t>
  </si>
  <si>
    <t>23560173</t>
  </si>
  <si>
    <t>เก่งกาจ</t>
  </si>
  <si>
    <t>รุจิราลัย</t>
  </si>
  <si>
    <t>Mr.  Kengkaj  Rujiralai</t>
  </si>
  <si>
    <t xml:space="preserve"> Mechanical Modification-Rotating Machines Section Manager</t>
  </si>
  <si>
    <t xml:space="preserve"> ผู้จัดการแผนกปรับปรุงเครื่องจักรกล</t>
  </si>
  <si>
    <t>NCT</t>
  </si>
  <si>
    <t>แผนกปรับปรุงเครื่องจักรกล</t>
  </si>
  <si>
    <t>หน่วยปรับปรุงโรงงาน</t>
  </si>
  <si>
    <t>ฝ่ายวิศวกรรมและวิเคราะห์โครงการ</t>
  </si>
  <si>
    <t>23630234</t>
  </si>
  <si>
    <t>สมพงษ์</t>
  </si>
  <si>
    <t>มีมุข</t>
  </si>
  <si>
    <t>Mr.  Sompong  Meemuk</t>
  </si>
  <si>
    <t>23560167</t>
  </si>
  <si>
    <t>เกรงกลัด</t>
  </si>
  <si>
    <t>Mr.  Thanapat  Klangklad</t>
  </si>
  <si>
    <t>NDT</t>
  </si>
  <si>
    <t>แผนกปรับปรุงระบบไฟฟ้า</t>
  </si>
  <si>
    <t>0822186945</t>
  </si>
  <si>
    <t>23600001</t>
  </si>
  <si>
    <t>ณัชพล</t>
  </si>
  <si>
    <t>Mr.  Natchapon  Phuawongritthichai</t>
  </si>
  <si>
    <t>0868400167</t>
  </si>
  <si>
    <t>23630056</t>
  </si>
  <si>
    <t>พิศิษฐ์</t>
  </si>
  <si>
    <t>Mr.  Pisit  Buawanphen</t>
  </si>
  <si>
    <t xml:space="preserve"> Electrical Modification Section Manager</t>
  </si>
  <si>
    <t xml:space="preserve"> ผู้จัดการแผนกปรับปรุงระบบไฟฟ้า</t>
  </si>
  <si>
    <t>089-2059268</t>
  </si>
  <si>
    <t>23630251</t>
  </si>
  <si>
    <t>ขวัญเมือง</t>
  </si>
  <si>
    <t>Mr.  Komsan  Khwanmuang</t>
  </si>
  <si>
    <t>23630462</t>
  </si>
  <si>
    <t>ภาณุพงศ์</t>
  </si>
  <si>
    <t>ปินตากุล</t>
  </si>
  <si>
    <t>Mr.  Panupong  Pintagul</t>
  </si>
  <si>
    <t>23630088</t>
  </si>
  <si>
    <t>วัธนพงษ์</t>
  </si>
  <si>
    <t>สร่างทุกข์</t>
  </si>
  <si>
    <t>Mr.  Watthanapong  Srangtook</t>
  </si>
  <si>
    <t xml:space="preserve"> Electrical Engineering Section Manager</t>
  </si>
  <si>
    <t xml:space="preserve"> ผู้จัดการแผนกวิศวกรรมไฟฟ้า</t>
  </si>
  <si>
    <t>NET</t>
  </si>
  <si>
    <t>แผนกวิศวกรรมไฟฟ้า</t>
  </si>
  <si>
    <t>หน่วยวิศวกรรม</t>
  </si>
  <si>
    <t>089-8914791</t>
  </si>
  <si>
    <t>23630135</t>
  </si>
  <si>
    <t>พงษ์เทพ</t>
  </si>
  <si>
    <t>ศรีจริยากร</t>
  </si>
  <si>
    <t>Mr.  Pongthep  Srijariyakorn</t>
  </si>
  <si>
    <t>085-6600896</t>
  </si>
  <si>
    <t>23630404</t>
  </si>
  <si>
    <t>โศจิรัตน์</t>
  </si>
  <si>
    <t>ลำเจริญ</t>
  </si>
  <si>
    <t>Miss  Sojirat  Lamcharoen</t>
  </si>
  <si>
    <t>23630465</t>
  </si>
  <si>
    <t>กิตติพศ</t>
  </si>
  <si>
    <t>จริยานุรัตน์</t>
  </si>
  <si>
    <t>Mr.  Kittipod  Jariyanurut</t>
  </si>
  <si>
    <t>GPSC CUP2-N</t>
  </si>
  <si>
    <t>08:00-17:00</t>
  </si>
  <si>
    <t>23560178</t>
  </si>
  <si>
    <t>แพน</t>
  </si>
  <si>
    <t>ยงยุทธวิชัย</t>
  </si>
  <si>
    <t>Miss  Pan  Yongyuttawichai</t>
  </si>
  <si>
    <t>NEV</t>
  </si>
  <si>
    <t>23630080</t>
  </si>
  <si>
    <t>ธนัญชัย</t>
  </si>
  <si>
    <t>ไชยสระแก้ว</t>
  </si>
  <si>
    <t>Mr.  Tananchai  Chaisrakaew</t>
  </si>
  <si>
    <t xml:space="preserve"> Vice President Engineering</t>
  </si>
  <si>
    <t xml:space="preserve"> ผู้จัดการฝ่ายวิศวกรรม</t>
  </si>
  <si>
    <t>089-2059176</t>
  </si>
  <si>
    <t>23630083</t>
  </si>
  <si>
    <t>นิพนธ์</t>
  </si>
  <si>
    <t>ศิริโพธิโสรัตร์</t>
  </si>
  <si>
    <t>Mr.  Nipon  Siripotisorat</t>
  </si>
  <si>
    <t>081-3750509</t>
  </si>
  <si>
    <t>23630318</t>
  </si>
  <si>
    <t>พิพัฒน์พงศ์กุล</t>
  </si>
  <si>
    <t>Miss  Naruemol  Pipatpongkul</t>
  </si>
  <si>
    <t>23630389</t>
  </si>
  <si>
    <t>จุฑาทิพย์</t>
  </si>
  <si>
    <t>วราสินธุ์</t>
  </si>
  <si>
    <t>Miss  Juthathip  Warasin</t>
  </si>
  <si>
    <t>23630018</t>
  </si>
  <si>
    <t>วิศิษฎ์</t>
  </si>
  <si>
    <t>ศรีนันทวงศ์</t>
  </si>
  <si>
    <t>Mr.  Wisit  Srinuntawong</t>
  </si>
  <si>
    <t xml:space="preserve"> Senior Vice President Project Feasibility and Engineering</t>
  </si>
  <si>
    <t xml:space="preserve"> ผู้จัดการฝ่ายอาวุโสวิศวกรรมและวิเคราะห์โครงการ</t>
  </si>
  <si>
    <t>NGS</t>
  </si>
  <si>
    <t>081-9325735</t>
  </si>
  <si>
    <t>23630131</t>
  </si>
  <si>
    <t>สุจิตรา</t>
  </si>
  <si>
    <t>แซ่แต้</t>
  </si>
  <si>
    <t>Miss  Sujitra  Sae-Tae</t>
  </si>
  <si>
    <t>23630201</t>
  </si>
  <si>
    <t>เกษม</t>
  </si>
  <si>
    <t>ไตรหิรัญ</t>
  </si>
  <si>
    <t>Mr.  Kasem  Traihirun</t>
  </si>
  <si>
    <t>084-7009237</t>
  </si>
  <si>
    <t>23630202</t>
  </si>
  <si>
    <t>พงศ์ศักดิ์</t>
  </si>
  <si>
    <t>ครุกานันต์</t>
  </si>
  <si>
    <t>Mr.  Pongsak  Krukanont</t>
  </si>
  <si>
    <t>081-1704257</t>
  </si>
  <si>
    <t>23630183</t>
  </si>
  <si>
    <t>ประพันธ์</t>
  </si>
  <si>
    <t>สายสมร</t>
  </si>
  <si>
    <t>Mr.  Prapan  Saisamorn</t>
  </si>
  <si>
    <t xml:space="preserve"> Reliability and Rotating Machines Section Manager</t>
  </si>
  <si>
    <t xml:space="preserve"> ผู้จัดการแผนกเสถียรภาพของระบบ</t>
  </si>
  <si>
    <t>NGT</t>
  </si>
  <si>
    <t>แผนกเสถียรภาพของระบบ</t>
  </si>
  <si>
    <t>หน่วยสถียรภาพและความมั่นคงของระบบ</t>
  </si>
  <si>
    <t>085-4886637</t>
  </si>
  <si>
    <t>23630334</t>
  </si>
  <si>
    <t>จีระพันธ์</t>
  </si>
  <si>
    <t>พิมพ์ภา</t>
  </si>
  <si>
    <t>Mr.  Jeeraphan  Pimppa</t>
  </si>
  <si>
    <t>23630357</t>
  </si>
  <si>
    <t>จันทร์ภิรมย์</t>
  </si>
  <si>
    <t>Mr.  Sarayut  Junpirom</t>
  </si>
  <si>
    <t>23630094</t>
  </si>
  <si>
    <t>สิทธิพงศ์</t>
  </si>
  <si>
    <t>เกิดมณี</t>
  </si>
  <si>
    <t>Mr.  Sittipong  Kerdmanee</t>
  </si>
  <si>
    <t xml:space="preserve"> Relay Protection and HV System Section Manager</t>
  </si>
  <si>
    <t xml:space="preserve"> ผู้จัดการแผนกรีเลย์และระบบแรงสูง</t>
  </si>
  <si>
    <t>NHT</t>
  </si>
  <si>
    <t>แผนกรีเลย์และระบบแรงสูง</t>
  </si>
  <si>
    <t>089-8100854</t>
  </si>
  <si>
    <t>23630192</t>
  </si>
  <si>
    <t>ภาคภูมิ</t>
  </si>
  <si>
    <t>สุคำ</t>
  </si>
  <si>
    <t>Mr.  Parkpoom  Sukam</t>
  </si>
  <si>
    <t>23630218</t>
  </si>
  <si>
    <t>สุชาติ</t>
  </si>
  <si>
    <t>มณฑปใหญ่</t>
  </si>
  <si>
    <t>Mr.  Suchat  Mondopyai</t>
  </si>
  <si>
    <t>23630231</t>
  </si>
  <si>
    <t>พิมพ์ชาต</t>
  </si>
  <si>
    <t>พรมขันดี</t>
  </si>
  <si>
    <t>Mr.  Pimchart  Promkhandee</t>
  </si>
  <si>
    <t>23630290</t>
  </si>
  <si>
    <t>เมธี</t>
  </si>
  <si>
    <t>มีจิตติ</t>
  </si>
  <si>
    <t>Mr.  Methee  Meechitti</t>
  </si>
  <si>
    <t>23630292</t>
  </si>
  <si>
    <t>ธนันดร</t>
  </si>
  <si>
    <t>ศรีหาบุตร</t>
  </si>
  <si>
    <t>Mr.  Thanandon  Sihabut</t>
  </si>
  <si>
    <t>23630326</t>
  </si>
  <si>
    <t>ชนินทร์</t>
  </si>
  <si>
    <t>ศรบุญทอง</t>
  </si>
  <si>
    <t>Mr.  Chanin  Sornbunthong</t>
  </si>
  <si>
    <t>23630327</t>
  </si>
  <si>
    <t>ณวรัตม์</t>
  </si>
  <si>
    <t>รื่นเริง</t>
  </si>
  <si>
    <t>Mr.  Nawarath  Ruenruang</t>
  </si>
  <si>
    <t>23630400</t>
  </si>
  <si>
    <t>จิรศักดิ์</t>
  </si>
  <si>
    <t>สุขสกุล</t>
  </si>
  <si>
    <t>Mr.  Jirasak  Suksakun</t>
  </si>
  <si>
    <t>23630403</t>
  </si>
  <si>
    <t>ณัฐพันธุ์</t>
  </si>
  <si>
    <t>สุขศรี</t>
  </si>
  <si>
    <t>Mr.  Nuttaphan  Suksri</t>
  </si>
  <si>
    <t>23630420</t>
  </si>
  <si>
    <t>ประตาทะโย</t>
  </si>
  <si>
    <t>Mr.  Ekkachai  Pratathayo</t>
  </si>
  <si>
    <t>23630421</t>
  </si>
  <si>
    <t>วชิรวิทย์</t>
  </si>
  <si>
    <t>มีบุญ</t>
  </si>
  <si>
    <t>Mr.  Wachirawit  Meeboon</t>
  </si>
  <si>
    <t>23630422</t>
  </si>
  <si>
    <t>นภัส</t>
  </si>
  <si>
    <t>วิรัชติ</t>
  </si>
  <si>
    <t>Mr.  Napat  Wirachati</t>
  </si>
  <si>
    <t>23630448</t>
  </si>
  <si>
    <t>วงศกร</t>
  </si>
  <si>
    <t>ลิมโพธิ์ทอง</t>
  </si>
  <si>
    <t>Mr.  Wongsakorn  Limphotong</t>
  </si>
  <si>
    <t>23630164</t>
  </si>
  <si>
    <t>บัณฑิต</t>
  </si>
  <si>
    <t>พญาพรหม</t>
  </si>
  <si>
    <t>Mr.  Bundit  Phayaprom</t>
  </si>
  <si>
    <t xml:space="preserve"> Control and Instrumentation Engineering Section Manager, Acting</t>
  </si>
  <si>
    <t xml:space="preserve"> รักษาการผู้จัดการแผนกวิศวกรรมควบคุมและเครื่องมือวัด</t>
  </si>
  <si>
    <t>NIT</t>
  </si>
  <si>
    <t>แผนกวิศวกรรมควบคุมและเครื่องมือวัด</t>
  </si>
  <si>
    <t>085-6600970</t>
  </si>
  <si>
    <t>23560002</t>
  </si>
  <si>
    <t>เรืองพงษ์</t>
  </si>
  <si>
    <t>เรืองหิรัญ</t>
  </si>
  <si>
    <t>Mr.  Reungpong  Reunghirun</t>
  </si>
  <si>
    <t xml:space="preserve"> Senior Vice President,EVP-Corporate Strategy and Subsidiary Management</t>
  </si>
  <si>
    <t xml:space="preserve"> ผู้จัดการฝ่ายอาวุโส ประจำรองกจญ.กลยุทธ์องค์กรและบริหารบริษัทในเครือ</t>
  </si>
  <si>
    <t>NL1PC</t>
  </si>
  <si>
    <t>บริษัท ไฟฟ้า น้ำลิก 1 จำกัด</t>
  </si>
  <si>
    <t>LAO PDR # Vientiane : NL1PC</t>
  </si>
  <si>
    <t>0818251560</t>
  </si>
  <si>
    <t>23630075</t>
  </si>
  <si>
    <t>นิ่มพิทักษ์พงศ์</t>
  </si>
  <si>
    <t>Mr.  Wattanachai  Nimpitakpong</t>
  </si>
  <si>
    <t xml:space="preserve"> Mechanical Engineering Section Manager</t>
  </si>
  <si>
    <t xml:space="preserve"> ผู้จัดการแผนกวิศวกรรมเครื่องกล</t>
  </si>
  <si>
    <t>NMT</t>
  </si>
  <si>
    <t>แผนกวิศวกรรมเครื่องกล</t>
  </si>
  <si>
    <t>089-2059273</t>
  </si>
  <si>
    <t>23630220</t>
  </si>
  <si>
    <t>เอกพล</t>
  </si>
  <si>
    <t>ยุทธวรวิทย์</t>
  </si>
  <si>
    <t>Mr.  Ekapon  Yuttaworavit</t>
  </si>
  <si>
    <t>23630245</t>
  </si>
  <si>
    <t>กลีบยี่สุ่น</t>
  </si>
  <si>
    <t>Mr.  Korakod  Kleebyeesun</t>
  </si>
  <si>
    <t>23630377</t>
  </si>
  <si>
    <t>พิชาญ</t>
  </si>
  <si>
    <t>เอกวัฒนพันธ์</t>
  </si>
  <si>
    <t>Mr.  Pichan  Aekwattanaphan</t>
  </si>
  <si>
    <t>23560129</t>
  </si>
  <si>
    <t>ปิติพรรณพงศ์</t>
  </si>
  <si>
    <t>Mr.  Jesada  Pitiphanpong</t>
  </si>
  <si>
    <t xml:space="preserve"> Division Manager assign to Plant Modification Vice President</t>
  </si>
  <si>
    <t xml:space="preserve"> ผู้จัดการส่วน ปฏิบัติหน้าที่ผู้จัดการฝ่ายปรับปรุงโรงงาน</t>
  </si>
  <si>
    <t>NMV</t>
  </si>
  <si>
    <t>23560064</t>
  </si>
  <si>
    <t>วรวิช</t>
  </si>
  <si>
    <t>จันทรมาลัย</t>
  </si>
  <si>
    <t>Mr.  Worawit  Chantaramalai</t>
  </si>
  <si>
    <t xml:space="preserve"> Division Manager,EVP-Corporate Strategy and Subsidiary Management</t>
  </si>
  <si>
    <t xml:space="preserve"> ผู้จัดการส่วน ประจำรองกจญ.กลยุทธ์องค์กรและบริหารบริษัทในเครือ</t>
  </si>
  <si>
    <t>NNEG</t>
  </si>
  <si>
    <t>บริษัท ผลิตไฟฟ้า นวนคร จำกัด</t>
  </si>
  <si>
    <t>GPSC PTE : NNEG</t>
  </si>
  <si>
    <t>0891945205</t>
  </si>
  <si>
    <t>23630055</t>
  </si>
  <si>
    <t>โฆสิต</t>
  </si>
  <si>
    <t>ยังชำนาญ</t>
  </si>
  <si>
    <t>Mr.  Khosit  Youngchamnan</t>
  </si>
  <si>
    <t>NNT</t>
  </si>
  <si>
    <t>แผนกความมั่นคงของระบบ</t>
  </si>
  <si>
    <t>23630144</t>
  </si>
  <si>
    <t>เกรียงไกร</t>
  </si>
  <si>
    <t>กิมกัว</t>
  </si>
  <si>
    <t>Mr.  Kreangkrai  Kimkua</t>
  </si>
  <si>
    <t>23560113</t>
  </si>
  <si>
    <t>วันชัย</t>
  </si>
  <si>
    <t>สุปราณี</t>
  </si>
  <si>
    <t>Mr.  Wanchai  Supranee</t>
  </si>
  <si>
    <t xml:space="preserve"> Control &amp; Instrumentation Section Manager</t>
  </si>
  <si>
    <t xml:space="preserve"> ผู้จัดการแผนกปรับปรุงระบบควบคุมและเครื่องมือวัด</t>
  </si>
  <si>
    <t>NRT</t>
  </si>
  <si>
    <t>แผนกปรับปรุงระบบควบคุมและเครื่องมือวัด</t>
  </si>
  <si>
    <t>096-6153694</t>
  </si>
  <si>
    <t>23600033</t>
  </si>
  <si>
    <t>พชร</t>
  </si>
  <si>
    <t>ภูตระกูล</t>
  </si>
  <si>
    <t>Mr.  Pachara  Phutrakoon</t>
  </si>
  <si>
    <t>0918756339</t>
  </si>
  <si>
    <t>23630156</t>
  </si>
  <si>
    <t>ศักดา</t>
  </si>
  <si>
    <t>ลาชโรจน์</t>
  </si>
  <si>
    <t>Mr.  Sakda  Lacharochana</t>
  </si>
  <si>
    <t xml:space="preserve"> Division Manager acting Vice President Reliability and Integrity</t>
  </si>
  <si>
    <t xml:space="preserve"> ผู้จัดการส่วน รักษาการผู้จัดการฝ่ายเสถียรภาพและความมั่นคงของระบบ</t>
  </si>
  <si>
    <t>NRV</t>
  </si>
  <si>
    <t>089-2059269</t>
  </si>
  <si>
    <t>23560201</t>
  </si>
  <si>
    <t>ณรงค์เดช</t>
  </si>
  <si>
    <t>ชื้อทัศนประสิทธิ์</t>
  </si>
  <si>
    <t>Mr.  Narongdate  Chuetatsanaprasit</t>
  </si>
  <si>
    <t xml:space="preserve"> Mechanical Modification-Stationary Section Manager</t>
  </si>
  <si>
    <t xml:space="preserve"> ผู้จัดการแผนกปรับปรุงระบบเครื่องกล</t>
  </si>
  <si>
    <t>NST</t>
  </si>
  <si>
    <t>แผนกปรับปรุงระบบเครื่องกล</t>
  </si>
  <si>
    <t>23630247</t>
  </si>
  <si>
    <t>กลางประพันธ์</t>
  </si>
  <si>
    <t>Mr.  Sanya  Klangprapan</t>
  </si>
  <si>
    <t>23630108</t>
  </si>
  <si>
    <t>ประทีป</t>
  </si>
  <si>
    <t>เดชสุภาการ</t>
  </si>
  <si>
    <t>Mr.  Pratheep  Dhetsupakarn</t>
  </si>
  <si>
    <t xml:space="preserve"> Technology Division Manager (Acting)</t>
  </si>
  <si>
    <t xml:space="preserve"> รักษาการผู้จัดการส่วนเทคโนโลยี</t>
  </si>
  <si>
    <t>NTM</t>
  </si>
  <si>
    <t>ส่วนเทคโนโลยี</t>
  </si>
  <si>
    <t>090-8804450</t>
  </si>
  <si>
    <t>23630507</t>
  </si>
  <si>
    <t>พลวุฒิ</t>
  </si>
  <si>
    <t>คำฝอย</t>
  </si>
  <si>
    <t>Mr.  Polawut  Khamfoy</t>
  </si>
  <si>
    <t>NTT</t>
  </si>
  <si>
    <t>แผนกเทคโนโลยีและนวัตกรรม</t>
  </si>
  <si>
    <t>23560156</t>
  </si>
  <si>
    <t>วศิน</t>
  </si>
  <si>
    <t>นิรันตรานนท์</t>
  </si>
  <si>
    <t>Mr.  Wasin  Nirantranon</t>
  </si>
  <si>
    <t xml:space="preserve"> Acting, Technology and Innovation Section Manager</t>
  </si>
  <si>
    <t xml:space="preserve"> รักษาการผู้จัดการแผนกเทคโนโลยีและนวัตกรรม</t>
  </si>
  <si>
    <t>23630228</t>
  </si>
  <si>
    <t>รัชนา</t>
  </si>
  <si>
    <t>พรมทันต์</t>
  </si>
  <si>
    <t>Miss  Ratchana  Promtun</t>
  </si>
  <si>
    <t>OAM</t>
  </si>
  <si>
    <t>ส่วนปฏิบัติการผลิตGas Fired Unit Complex</t>
  </si>
  <si>
    <t>หน่วยโรงไฟฟ้า Phase 3 Gas/Coal</t>
  </si>
  <si>
    <t>ฝ่ายปฏิบัติการผลิต พื้นที่ระยอง</t>
  </si>
  <si>
    <t>สายงานรองกผญ.ปฏิบัติการ</t>
  </si>
  <si>
    <t>23560046</t>
  </si>
  <si>
    <t>นิมิต</t>
  </si>
  <si>
    <t>บุญประสานกิจ</t>
  </si>
  <si>
    <t>Mr.  Nimit  Boonprasankit</t>
  </si>
  <si>
    <t xml:space="preserve"> Central Utility Plant 1 Operations  Manager</t>
  </si>
  <si>
    <t xml:space="preserve"> ผู้จัดการปฏิบัติการผลิต 1</t>
  </si>
  <si>
    <t>OC1M</t>
  </si>
  <si>
    <t>ส่วนปฏิบัติการผลิต 1</t>
  </si>
  <si>
    <t>23620053</t>
  </si>
  <si>
    <t>ศิริจิต</t>
  </si>
  <si>
    <t>Ms.  Sirijit Suksiri</t>
  </si>
  <si>
    <t xml:space="preserve"> Chemist</t>
  </si>
  <si>
    <t xml:space="preserve"> นักเคมี</t>
  </si>
  <si>
    <t>GPSC CUP4-F</t>
  </si>
  <si>
    <t>23560057</t>
  </si>
  <si>
    <t>ไพฑูรย์</t>
  </si>
  <si>
    <t>เอมนิล</t>
  </si>
  <si>
    <t>Mr.  Phaithun  Emnin</t>
  </si>
  <si>
    <t xml:space="preserve"> Central Utility Plant 2 Operations  Manager</t>
  </si>
  <si>
    <t xml:space="preserve"> ผู้จัดการปฏิบัติการผลิต 2</t>
  </si>
  <si>
    <t>OC2M</t>
  </si>
  <si>
    <t>ส่วนปฏิบัติการผลิต 2</t>
  </si>
  <si>
    <t>0894082249</t>
  </si>
  <si>
    <t>23560123</t>
  </si>
  <si>
    <t>จารุนันท์</t>
  </si>
  <si>
    <t>นาคเรืองศรี</t>
  </si>
  <si>
    <t>Miss  Jarunan  Nakruangsri</t>
  </si>
  <si>
    <t>0649479546</t>
  </si>
  <si>
    <t>23560098</t>
  </si>
  <si>
    <t>วิกรม</t>
  </si>
  <si>
    <t>เสาธง</t>
  </si>
  <si>
    <t>Mr.  Vikrom  Saothong</t>
  </si>
  <si>
    <t xml:space="preserve"> Central Utility Plant 3 Operations Manager</t>
  </si>
  <si>
    <t xml:space="preserve"> ผู้จัดการปฏิบัติการผลิต 3</t>
  </si>
  <si>
    <t>OC3M</t>
  </si>
  <si>
    <t>ส่วนปฏิบัติการผลิต 3</t>
  </si>
  <si>
    <t>23560185</t>
  </si>
  <si>
    <t>นสิตา</t>
  </si>
  <si>
    <t>ธรรมสนิท</t>
  </si>
  <si>
    <t>Miss  Nasita  Thammasanit</t>
  </si>
  <si>
    <t>0622546164</t>
  </si>
  <si>
    <t>23560062</t>
  </si>
  <si>
    <t>ดูร์แฮม</t>
  </si>
  <si>
    <t>Mr.  Jirawat  Durham</t>
  </si>
  <si>
    <t xml:space="preserve"> Central Utility Plant 4 Operations Manager</t>
  </si>
  <si>
    <t xml:space="preserve"> ผู้จัดการปฏิบัติการผลิต 4</t>
  </si>
  <si>
    <t>OC4M</t>
  </si>
  <si>
    <t>ส่วนปฏิบัติการผลิต 4</t>
  </si>
  <si>
    <t>-0817617674</t>
  </si>
  <si>
    <t>23560070</t>
  </si>
  <si>
    <t>เติมวิทย์</t>
  </si>
  <si>
    <t>ศรสุวรรณ</t>
  </si>
  <si>
    <t>Mr.  Termwit  Sornsuwan</t>
  </si>
  <si>
    <t>23630161</t>
  </si>
  <si>
    <t>ธนาภรณ์</t>
  </si>
  <si>
    <t>กระจ่างแจ้ง</t>
  </si>
  <si>
    <t>Miss  Thanaporn  Krachangchaeng</t>
  </si>
  <si>
    <t>OGCT</t>
  </si>
  <si>
    <t>แผนกปฏิบัติการเคมี โกลว์</t>
  </si>
  <si>
    <t>23630213</t>
  </si>
  <si>
    <t>วุฒิศักดิ์</t>
  </si>
  <si>
    <t>บุญล้อม</t>
  </si>
  <si>
    <t>Mr.  Wuttisak  Bunlom</t>
  </si>
  <si>
    <t xml:space="preserve"> Laboratory Officer</t>
  </si>
  <si>
    <t xml:space="preserve"> พนักงานปฏิบัติการเคมี</t>
  </si>
  <si>
    <t>GPSC GEN-S12</t>
  </si>
  <si>
    <t>Shift RY2 Team A</t>
  </si>
  <si>
    <t>23630257</t>
  </si>
  <si>
    <t>วรรณิศา</t>
  </si>
  <si>
    <t>มหาเรือนขวัญ</t>
  </si>
  <si>
    <t>Miss  Wannisa  Maharuankhwun</t>
  </si>
  <si>
    <t>Shift RY2 Team C</t>
  </si>
  <si>
    <t>23630040</t>
  </si>
  <si>
    <t>ทิวาวรรณ</t>
  </si>
  <si>
    <t>พันธุมิตร</t>
  </si>
  <si>
    <t>Miss  Thiwawan  Pantumit</t>
  </si>
  <si>
    <t>GPSC SPP2/3-S12</t>
  </si>
  <si>
    <t>Shift LabG3 Team D</t>
  </si>
  <si>
    <t>23630044</t>
  </si>
  <si>
    <t>มหานุกูล</t>
  </si>
  <si>
    <t>Mr.  Chutinthorn  Mahanukul</t>
  </si>
  <si>
    <t xml:space="preserve"> GLOW Chemical Section Manager</t>
  </si>
  <si>
    <t xml:space="preserve"> ผู้จัดการแผนกปฏิบัติการเคมี</t>
  </si>
  <si>
    <t>089-2057044</t>
  </si>
  <si>
    <t>23630065</t>
  </si>
  <si>
    <t>ศิริพร</t>
  </si>
  <si>
    <t>ศรีมงคล</t>
  </si>
  <si>
    <t>Miss  Siriporn  Srimongkol</t>
  </si>
  <si>
    <t>Shift LabG3 Team B</t>
  </si>
  <si>
    <t>23630070</t>
  </si>
  <si>
    <t>สมปอง</t>
  </si>
  <si>
    <t>พงษ์ทับ</t>
  </si>
  <si>
    <t>Miss  Sompong  Phongthab</t>
  </si>
  <si>
    <t xml:space="preserve"> Senior Chemist</t>
  </si>
  <si>
    <t xml:space="preserve"> นักเคมีอาวุโส</t>
  </si>
  <si>
    <t>081-1715472</t>
  </si>
  <si>
    <t>23630084</t>
  </si>
  <si>
    <t>ดวงใจ</t>
  </si>
  <si>
    <t>เนียมพันธ์</t>
  </si>
  <si>
    <t>Mrs.  Doungjai  Neampun</t>
  </si>
  <si>
    <t>23630101</t>
  </si>
  <si>
    <t>ภควรรณ</t>
  </si>
  <si>
    <t>นมัสศิลา</t>
  </si>
  <si>
    <t>Miss  Phakawan  Namassila</t>
  </si>
  <si>
    <t>Shift LabG3 Team A</t>
  </si>
  <si>
    <t>23630103</t>
  </si>
  <si>
    <t>วุฒิวงศ์</t>
  </si>
  <si>
    <t>โล่นวรัตน์</t>
  </si>
  <si>
    <t>Mr.  Wutthiwong  Lonawarat</t>
  </si>
  <si>
    <t>23630116</t>
  </si>
  <si>
    <t>สิริพรรณ</t>
  </si>
  <si>
    <t>ภาคพิเศษ</t>
  </si>
  <si>
    <t>Miss  Siriphan  Phakphiset</t>
  </si>
  <si>
    <t>Shift LabG3 Team C</t>
  </si>
  <si>
    <t>23630188</t>
  </si>
  <si>
    <t>มาริสา</t>
  </si>
  <si>
    <t>ราชา</t>
  </si>
  <si>
    <t>Miss  Marisa  Racha</t>
  </si>
  <si>
    <t>23630214</t>
  </si>
  <si>
    <t>นาควิสุทธิ์</t>
  </si>
  <si>
    <t>Mr.  Pipat  Nakwisut</t>
  </si>
  <si>
    <t>23630284</t>
  </si>
  <si>
    <t>จิณห์นิภา</t>
  </si>
  <si>
    <t>จอมยิ้ม</t>
  </si>
  <si>
    <t>Miss  Jinnipa  Jomyim</t>
  </si>
  <si>
    <t>23630304</t>
  </si>
  <si>
    <t>นันท์ณพรรธน์</t>
  </si>
  <si>
    <t>ดอนสิทธิ์</t>
  </si>
  <si>
    <t>Miss  Nannapat  Donsit</t>
  </si>
  <si>
    <t>Shift RY2 Team B</t>
  </si>
  <si>
    <t>23630308</t>
  </si>
  <si>
    <t>แสนทวีสุข</t>
  </si>
  <si>
    <t>Miss  Vitchuda  Santaweesuk</t>
  </si>
  <si>
    <t>23630311</t>
  </si>
  <si>
    <t>จันทร์ทอง</t>
  </si>
  <si>
    <t>Miss  Sunisa  Chantong</t>
  </si>
  <si>
    <t>23630320</t>
  </si>
  <si>
    <t>ทักษิณา</t>
  </si>
  <si>
    <t>ประสานศัพท์</t>
  </si>
  <si>
    <t>Miss  Taksina  Prasansup</t>
  </si>
  <si>
    <t>23630323</t>
  </si>
  <si>
    <t>ศรีโยธา</t>
  </si>
  <si>
    <t>Miss  Juthamart    Sriyota</t>
  </si>
  <si>
    <t>Shift RY2 Team D</t>
  </si>
  <si>
    <t>23630352</t>
  </si>
  <si>
    <t>ว่องวิโรจน์สกุล</t>
  </si>
  <si>
    <t>Miss  Warunee  Wongwirojsakul</t>
  </si>
  <si>
    <t>23630129</t>
  </si>
  <si>
    <t>ธัญญลักษณ์</t>
  </si>
  <si>
    <t>ธรรมสิทธิ์</t>
  </si>
  <si>
    <t>Mrs.  Tanyaluck  Thammasit</t>
  </si>
  <si>
    <t>OIM</t>
  </si>
  <si>
    <t>ส่วนปฏิบัติการผลิต GIPP</t>
  </si>
  <si>
    <t>ฝ่ายปฏิบัติการผลิต พื้นที่อื่นๆ</t>
  </si>
  <si>
    <t>062-5972645</t>
  </si>
  <si>
    <t>23630297</t>
  </si>
  <si>
    <t>ปฏิมาพร</t>
  </si>
  <si>
    <t>อุดไชยา</t>
  </si>
  <si>
    <t>Miss  Patimaporn  Ut-chaiya</t>
  </si>
  <si>
    <t>OLM</t>
  </si>
  <si>
    <t>ส่วนปฏิบัติการผลิต Phase 3 Coal Fired</t>
  </si>
  <si>
    <t>23630444</t>
  </si>
  <si>
    <t>อนันต์ชัย</t>
  </si>
  <si>
    <t>แก้วประดิษฐ์</t>
  </si>
  <si>
    <t>Mr.  Ananchai  Kaewpradit</t>
  </si>
  <si>
    <t xml:space="preserve"> Network Management Technician</t>
  </si>
  <si>
    <t xml:space="preserve"> ช่างเทคนิคบริหารเครือข่ายสายส่งไฟฟ้า</t>
  </si>
  <si>
    <t>ONM</t>
  </si>
  <si>
    <t>ส่วนบริหารเครือข่ายสายส่งไฟฟ้า</t>
  </si>
  <si>
    <t>23630445</t>
  </si>
  <si>
    <t>อุกฤษ</t>
  </si>
  <si>
    <t>กาญจนกิจโสภณ</t>
  </si>
  <si>
    <t>Mr.  Ukit  Kanchanakitsopon</t>
  </si>
  <si>
    <t>23630239</t>
  </si>
  <si>
    <t>อิฐ</t>
  </si>
  <si>
    <t>รำมะนา</t>
  </si>
  <si>
    <t>Mr.  Itt  Rammana</t>
  </si>
  <si>
    <t xml:space="preserve"> Network Management Division Management Division Manager</t>
  </si>
  <si>
    <t xml:space="preserve"> ผู้จัดการส่วนบริหารเครือข่ายสายส่งไฟฟ้า</t>
  </si>
  <si>
    <t>081-1715464</t>
  </si>
  <si>
    <t>23630461</t>
  </si>
  <si>
    <t>ฐาปนนท์</t>
  </si>
  <si>
    <t>นาคสูตร์</t>
  </si>
  <si>
    <t>Mr.  Tapanon  Naksot</t>
  </si>
  <si>
    <t xml:space="preserve"> ช่างเทคนิคบริหารเครื่อข่ายสายส่งไฟฟ้า</t>
  </si>
  <si>
    <t>23630463</t>
  </si>
  <si>
    <t>สิทธินนท์</t>
  </si>
  <si>
    <t>ดวงแก้ว</t>
  </si>
  <si>
    <t>Mr.  Sitthinon  Duangkaew</t>
  </si>
  <si>
    <t>23560017</t>
  </si>
  <si>
    <t>สุรจิตร</t>
  </si>
  <si>
    <t>บัวเทิง</t>
  </si>
  <si>
    <t>Mr.  Surajit  Bourtherng</t>
  </si>
  <si>
    <t xml:space="preserve"> Senior Vice President Plant Operations, Other areas</t>
  </si>
  <si>
    <t xml:space="preserve"> ผู้จัดการฝ่ายอาวุโสปฏิบัติการผลิต พื้นที่อื่นๆ</t>
  </si>
  <si>
    <t>OOS</t>
  </si>
  <si>
    <t>23560160</t>
  </si>
  <si>
    <t>เรวดี</t>
  </si>
  <si>
    <t>โรจน์ทนง</t>
  </si>
  <si>
    <t>Miss  Rewadee  Rojthanong</t>
  </si>
  <si>
    <t>OPE</t>
  </si>
  <si>
    <t>0866445192</t>
  </si>
  <si>
    <t>23610003</t>
  </si>
  <si>
    <t>สมรชัย</t>
  </si>
  <si>
    <t>คุณรักษ์</t>
  </si>
  <si>
    <t>Mr.  Smornchai  Khoonrak</t>
  </si>
  <si>
    <t xml:space="preserve"> Executive Vice President - Operations</t>
  </si>
  <si>
    <t xml:space="preserve"> รองกรรมการผู้จัดการใหญ่ปฏิบัติการ</t>
  </si>
  <si>
    <t>23630093</t>
  </si>
  <si>
    <t>สวนผล</t>
  </si>
  <si>
    <t>Mr.  Pairoj  Sunphon</t>
  </si>
  <si>
    <t xml:space="preserve"> Port Logistics Officer</t>
  </si>
  <si>
    <t xml:space="preserve"> พนักงานบริหารท่าเรือและโลจิสติกส์ถ่านหิน</t>
  </si>
  <si>
    <t>OPLT</t>
  </si>
  <si>
    <t>แผนกบริหารท่าเรือและโลจิสติกส์ถ่านหิน</t>
  </si>
  <si>
    <t>Shift Port Team C</t>
  </si>
  <si>
    <t>23630175</t>
  </si>
  <si>
    <t>ณัฐธนนท์</t>
  </si>
  <si>
    <t>หิงสุวรรณจิตต์</t>
  </si>
  <si>
    <t>Mr.  Natthanon  Hingsuwannajit</t>
  </si>
  <si>
    <t>Shift Port Team A</t>
  </si>
  <si>
    <t>23630254</t>
  </si>
  <si>
    <t>จักรพันธุ์</t>
  </si>
  <si>
    <t>ทองหล่อ</t>
  </si>
  <si>
    <t>Mr.  Jakkapan  Thonglor</t>
  </si>
  <si>
    <t>Shift Port Team B</t>
  </si>
  <si>
    <t>23630255</t>
  </si>
  <si>
    <t>สัตยวาท</t>
  </si>
  <si>
    <t>Mr.  Sombat  Suttayawart</t>
  </si>
  <si>
    <t>23630261</t>
  </si>
  <si>
    <t>พัฒนพงศ์</t>
  </si>
  <si>
    <t>ศิลปะ</t>
  </si>
  <si>
    <t>Mr.  Pattanapong  Sillapa</t>
  </si>
  <si>
    <t xml:space="preserve"> Coal Port &amp; Logistics Section Manager</t>
  </si>
  <si>
    <t xml:space="preserve"> ผู้จัดการแผนกบริหารท่าเรือและโลจิสติกส์ถ่านหิน</t>
  </si>
  <si>
    <t>089-8100869</t>
  </si>
  <si>
    <t>23630273</t>
  </si>
  <si>
    <t>สามารถ</t>
  </si>
  <si>
    <t>เชียงทอง</t>
  </si>
  <si>
    <t>Mr.  Samart  Chiangthong</t>
  </si>
  <si>
    <t>23630274</t>
  </si>
  <si>
    <t>นราวุฒิ</t>
  </si>
  <si>
    <t>อาริยธรรม</t>
  </si>
  <si>
    <t>Mr.  Narawut  Ariyatham</t>
  </si>
  <si>
    <t>23630099</t>
  </si>
  <si>
    <t>พัชชาพลอย</t>
  </si>
  <si>
    <t>บูรณเกียรติกุล</t>
  </si>
  <si>
    <t>Miss  Patchaploy  Buranakeattikul</t>
  </si>
  <si>
    <t>OPM</t>
  </si>
  <si>
    <t>ส่วนปฏิบัติการผลิต SPP11</t>
  </si>
  <si>
    <t>062-5972646</t>
  </si>
  <si>
    <t>23630035</t>
  </si>
  <si>
    <t>สุวิมล</t>
  </si>
  <si>
    <t>พฤษผล</t>
  </si>
  <si>
    <t>Mrs.  Suwimol  Proeksapol</t>
  </si>
  <si>
    <t>OPPM</t>
  </si>
  <si>
    <t>ส่วนโรงไฟฟ้า Phase 2 Cogen</t>
  </si>
  <si>
    <t>23630079</t>
  </si>
  <si>
    <t>อภิเดช</t>
  </si>
  <si>
    <t>ศิริพรนพคุณ</t>
  </si>
  <si>
    <t>Mr.  Apidech  Siriphornoppakhun</t>
  </si>
  <si>
    <t xml:space="preserve"> Phase 2 Cogen Plant Manager</t>
  </si>
  <si>
    <t xml:space="preserve"> ผู้จัดการโรงไฟฟ้า Phase 2 Cogen</t>
  </si>
  <si>
    <t>089-2057049</t>
  </si>
  <si>
    <t>ID-Emp.</t>
  </si>
  <si>
    <t>Title</t>
  </si>
  <si>
    <t>Name</t>
  </si>
  <si>
    <t>Surname</t>
  </si>
  <si>
    <t>Employee (Eng)</t>
  </si>
  <si>
    <t>Position Full name (Eng)</t>
  </si>
  <si>
    <t>Position Full name (TH)</t>
  </si>
  <si>
    <t>Org.Unit</t>
  </si>
  <si>
    <t>Section แผนก</t>
  </si>
  <si>
    <t>Division ส่วน</t>
  </si>
  <si>
    <t>VP ฝ่าย</t>
  </si>
  <si>
    <t>SVP ฝ่ายอาวุโส</t>
  </si>
  <si>
    <t>EVP รอง</t>
  </si>
  <si>
    <t>COO ปธ.ปฏิบัติการ</t>
  </si>
  <si>
    <t>CEO ปธ.</t>
  </si>
  <si>
    <t>Personnel Area</t>
  </si>
  <si>
    <t>Work Location</t>
  </si>
  <si>
    <t>Personnal Sub Area</t>
  </si>
  <si>
    <t>เวลาทำงาน</t>
  </si>
  <si>
    <t>Male / Female</t>
  </si>
  <si>
    <t>Mobile</t>
  </si>
  <si>
    <t>23560144</t>
  </si>
  <si>
    <t>สิทธิชัย</t>
  </si>
  <si>
    <t>ไทยแสน</t>
  </si>
  <si>
    <t>Mr.  Sitthichai  Thaisaen</t>
  </si>
  <si>
    <t xml:space="preserve"> Shift Operation Manager</t>
  </si>
  <si>
    <t xml:space="preserve"> ผู้จัดการแผนกปฏิบัติการกะ</t>
  </si>
  <si>
    <t>ORM</t>
  </si>
  <si>
    <t>ส่วนโรงไฟฟ้าขยะ</t>
  </si>
  <si>
    <t>GPSC RYG : RDF</t>
  </si>
  <si>
    <t>0816878411</t>
  </si>
  <si>
    <t>23630031</t>
  </si>
  <si>
    <t>อนุตรชัย</t>
  </si>
  <si>
    <t>ณ ถลาง</t>
  </si>
  <si>
    <t>Mr.  Anutarachai  Nathalang</t>
  </si>
  <si>
    <t xml:space="preserve"> RDF Power Plant Manaager</t>
  </si>
  <si>
    <t xml:space="preserve"> ผู้จัดการโรงไฟฟ้า RDF</t>
  </si>
  <si>
    <t>089-2057041</t>
  </si>
  <si>
    <t>23630032</t>
  </si>
  <si>
    <t>สุทธิ</t>
  </si>
  <si>
    <t>Mr.  Sutthi  Chuesook</t>
  </si>
  <si>
    <t xml:space="preserve"> Senior Vice President Plant Operations, Rayong Cogen.</t>
  </si>
  <si>
    <t xml:space="preserve"> ผู้จัดการฝ่ายอาวุโสปฏิบัติการผลิต พื้นที่ระยอง</t>
  </si>
  <si>
    <t>ORS</t>
  </si>
  <si>
    <t>089-2059175</t>
  </si>
  <si>
    <t>23630037</t>
  </si>
  <si>
    <t>รศริน</t>
  </si>
  <si>
    <t>กลิ่นดิษฐ</t>
  </si>
  <si>
    <t>Miss  Rosarin  Klindith</t>
  </si>
  <si>
    <t>23630051</t>
  </si>
  <si>
    <t>อัฏฐพร</t>
  </si>
  <si>
    <t>เจริญพจน์</t>
  </si>
  <si>
    <t>Miss  Autthaporn  Charoenpoj</t>
  </si>
  <si>
    <t>ORV</t>
  </si>
  <si>
    <t>23630090</t>
  </si>
  <si>
    <t>รุจิโรจน์</t>
  </si>
  <si>
    <t>กสิฤกษ์</t>
  </si>
  <si>
    <t>Mr.  Rujirote  Kasirerk</t>
  </si>
  <si>
    <t xml:space="preserve"> Phase 3 Gas/Coal Plant  Manager</t>
  </si>
  <si>
    <t xml:space="preserve"> ผู้จัดการโรงไฟฟ้า Phase 3 Gas/Coal</t>
  </si>
  <si>
    <t>089-2059275</t>
  </si>
  <si>
    <t>23560071</t>
  </si>
  <si>
    <t>คมกริช</t>
  </si>
  <si>
    <t>ดุลยะสิทธิ์</t>
  </si>
  <si>
    <t>Mr.  Khomgrish  Dulyasit</t>
  </si>
  <si>
    <t>OS1H (A)</t>
  </si>
  <si>
    <t>แผนกปฎิบัติงานกะ OS1H (A)</t>
  </si>
  <si>
    <t>GPSC CUP1-S12</t>
  </si>
  <si>
    <t>Shift CUP1 Team A</t>
  </si>
  <si>
    <t>-0866609112</t>
  </si>
  <si>
    <t>23560096</t>
  </si>
  <si>
    <t>กรพล</t>
  </si>
  <si>
    <t>ลิ้วโพธิ์สุวรรณ</t>
  </si>
  <si>
    <t>Mr.  Koraphon  Liophosuwan</t>
  </si>
  <si>
    <t xml:space="preserve"> Assistant Shift Manager</t>
  </si>
  <si>
    <t xml:space="preserve"> ผู้ช่วยผู้จัดการแผนกปฏิบัติการกะ</t>
  </si>
  <si>
    <t>23560152</t>
  </si>
  <si>
    <t>นินนาท</t>
  </si>
  <si>
    <t>กันมหา</t>
  </si>
  <si>
    <t>Mr.  Ninnat  Kunmaha</t>
  </si>
  <si>
    <t xml:space="preserve"> Field Operator</t>
  </si>
  <si>
    <t xml:space="preserve"> พนักงานปฏิบัติการกะ</t>
  </si>
  <si>
    <t>0871466506</t>
  </si>
  <si>
    <t>23560170</t>
  </si>
  <si>
    <t>ยุทธนา</t>
  </si>
  <si>
    <t>ปลัดศรีช่วย</t>
  </si>
  <si>
    <t>Mr.  Yutthana  Palatsrichuay</t>
  </si>
  <si>
    <t>083-9546580</t>
  </si>
  <si>
    <t>23560205</t>
  </si>
  <si>
    <t>วิสิษฎ์</t>
  </si>
  <si>
    <t>เพ็ชรไม้</t>
  </si>
  <si>
    <t>Mr.  Visit  Pechmai</t>
  </si>
  <si>
    <t>0805619377</t>
  </si>
  <si>
    <t>23620022</t>
  </si>
  <si>
    <t>บุญลาภ</t>
  </si>
  <si>
    <t>Mr.  Sutthi  Boonlab</t>
  </si>
  <si>
    <t>23630003</t>
  </si>
  <si>
    <t>ฐานันดร</t>
  </si>
  <si>
    <t>ฤกษ์ดี</t>
  </si>
  <si>
    <t>Mr.  Thanundon  Roekdee</t>
  </si>
  <si>
    <t>23560077</t>
  </si>
  <si>
    <t>กรัตนุถะ</t>
  </si>
  <si>
    <t>Mr.  Phanupong  karatnutha</t>
  </si>
  <si>
    <t>OS1H (B)</t>
  </si>
  <si>
    <t>แผนกปฎิบัติงานกะ OS1H (B)</t>
  </si>
  <si>
    <t>Shift CUP1 Team B</t>
  </si>
  <si>
    <t>-0863909706</t>
  </si>
  <si>
    <t>23560103</t>
  </si>
  <si>
    <t>หมากสุก</t>
  </si>
  <si>
    <t>Mr.  Phairote  Maksuk</t>
  </si>
  <si>
    <t>23560140</t>
  </si>
  <si>
    <t>สกุลวัฒน์</t>
  </si>
  <si>
    <t>สองสี</t>
  </si>
  <si>
    <t>Mr.  Sakulwat  Songsee</t>
  </si>
  <si>
    <t>23560168</t>
  </si>
  <si>
    <t>ธนกร</t>
  </si>
  <si>
    <t>มณีโรจน์</t>
  </si>
  <si>
    <t>Mr.  Thanakorn  Maneeroaj</t>
  </si>
  <si>
    <t>23560204</t>
  </si>
  <si>
    <t>รังสรรค์</t>
  </si>
  <si>
    <t>จำธรรม</t>
  </si>
  <si>
    <t>Mr.  Rangsan  Chamtham</t>
  </si>
  <si>
    <t>23610012</t>
  </si>
  <si>
    <t>ธนชิต</t>
  </si>
  <si>
    <t>สีพั้ว</t>
  </si>
  <si>
    <t>Mr.  Tanachit  Seepua</t>
  </si>
  <si>
    <t>0941785855</t>
  </si>
  <si>
    <t>23620012</t>
  </si>
  <si>
    <t>รัตนวิจิตร</t>
  </si>
  <si>
    <t>Mr.  Terapong  Rattanavichit</t>
  </si>
  <si>
    <t>23560072</t>
  </si>
  <si>
    <t>ปัญญาธนะโสภณ</t>
  </si>
  <si>
    <t>Mr.  Pornchai  Panyathanasophon</t>
  </si>
  <si>
    <t>OS1H (C)</t>
  </si>
  <si>
    <t>แผนกปฎิบัติงานกะ OS1H (C)</t>
  </si>
  <si>
    <t>Shift CUP1 Team C</t>
  </si>
  <si>
    <t>-0819493818</t>
  </si>
  <si>
    <t>23560127</t>
  </si>
  <si>
    <t>ดนัย</t>
  </si>
  <si>
    <t>นาคเขียว</t>
  </si>
  <si>
    <t>Mr.  Danai  Nakkheow</t>
  </si>
  <si>
    <t>0851848994</t>
  </si>
  <si>
    <t>23560141</t>
  </si>
  <si>
    <t>วุฒิชัย</t>
  </si>
  <si>
    <t>พัฒนกุล</t>
  </si>
  <si>
    <t>Mr.  Wuttichai  Pattanakul</t>
  </si>
  <si>
    <t>0896001380</t>
  </si>
  <si>
    <t>23560180</t>
  </si>
  <si>
    <t>ฉันท์</t>
  </si>
  <si>
    <t>เรืองคำ</t>
  </si>
  <si>
    <t>Mr.  Chun  Ruengcom</t>
  </si>
  <si>
    <t>0876942183</t>
  </si>
  <si>
    <t>23560218</t>
  </si>
  <si>
    <t>สงกรานต์</t>
  </si>
  <si>
    <t>ชัยคำ</t>
  </si>
  <si>
    <t>Mr.  Songkran  Chaikham</t>
  </si>
  <si>
    <t>084-3677243</t>
  </si>
  <si>
    <t>23620011</t>
  </si>
  <si>
    <t>วัชรชัย</t>
  </si>
  <si>
    <t>มนัสเกรียงไกร</t>
  </si>
  <si>
    <t>Mr.  Watcharachai  Manuskriangkrai</t>
  </si>
  <si>
    <t>23620013</t>
  </si>
  <si>
    <t>วีรภัทร</t>
  </si>
  <si>
    <t>นนท์ปัญญา</t>
  </si>
  <si>
    <t>Mr.  Weeraphat  Nonphanya</t>
  </si>
  <si>
    <t>23560028</t>
  </si>
  <si>
    <t>พรชัยเจริญ</t>
  </si>
  <si>
    <t>Mr.  Anek  Ponchaijaroen</t>
  </si>
  <si>
    <t>OS1H (D)</t>
  </si>
  <si>
    <t>แผนกปฎิบัติงานกะ OS1H (D)</t>
  </si>
  <si>
    <t>Shift CUP1 Team D</t>
  </si>
  <si>
    <t>0850946353</t>
  </si>
  <si>
    <t>23560068</t>
  </si>
  <si>
    <t>อยู่ดี</t>
  </si>
  <si>
    <t>Mr.  Pornchai  Yoodee</t>
  </si>
  <si>
    <t>23560139</t>
  </si>
  <si>
    <t>สุริยา</t>
  </si>
  <si>
    <t>สีมาด</t>
  </si>
  <si>
    <t>Mr.  Suriya  Seamad</t>
  </si>
  <si>
    <t>-0824585419</t>
  </si>
  <si>
    <t>23560150</t>
  </si>
  <si>
    <t>สัมมาแก้ว</t>
  </si>
  <si>
    <t>Mr.  Thawatchai  Sammakeaw</t>
  </si>
  <si>
    <t>-0895296489</t>
  </si>
  <si>
    <t>23560159</t>
  </si>
  <si>
    <t>กฤษฎิ์</t>
  </si>
  <si>
    <t>บุญพ่วง</t>
  </si>
  <si>
    <t>Mr.  Krit  Boonpuang</t>
  </si>
  <si>
    <t>084-4251575</t>
  </si>
  <si>
    <t>23580023</t>
  </si>
  <si>
    <t>สิรภพ</t>
  </si>
  <si>
    <t>ตั้งวงศ์</t>
  </si>
  <si>
    <t>Mr.  Sirapop  Tangwong</t>
  </si>
  <si>
    <t>0982769936</t>
  </si>
  <si>
    <t>23620014</t>
  </si>
  <si>
    <t>ณรงค์ฤทธิ์</t>
  </si>
  <si>
    <t>มั่นมา</t>
  </si>
  <si>
    <t>Mr.  Narongrit  Manma</t>
  </si>
  <si>
    <t>23560102</t>
  </si>
  <si>
    <t>พิกุล</t>
  </si>
  <si>
    <t>Mr.  Apisit  Pikul</t>
  </si>
  <si>
    <t>OS2H (A)</t>
  </si>
  <si>
    <t>แผนกปฎิบัติงานกะ OS2H (A)</t>
  </si>
  <si>
    <t>GPSC CUP2-S12</t>
  </si>
  <si>
    <t>Shift CUP2 Team A</t>
  </si>
  <si>
    <t>23560124</t>
  </si>
  <si>
    <t>สิทธินวล</t>
  </si>
  <si>
    <t>Mr.  Bundit  Sittinaul</t>
  </si>
  <si>
    <t>0891764912</t>
  </si>
  <si>
    <t>23560182</t>
  </si>
  <si>
    <t>มานพ</t>
  </si>
  <si>
    <t>เชื้อลิ้นฟ้า</t>
  </si>
  <si>
    <t>Mr.  Manop  Cheuelinfha</t>
  </si>
  <si>
    <t>-0870322336</t>
  </si>
  <si>
    <t>23580024</t>
  </si>
  <si>
    <t>กฤษณ์</t>
  </si>
  <si>
    <t>กิจสาลี</t>
  </si>
  <si>
    <t>Mr.  Grit  Kitsalee</t>
  </si>
  <si>
    <t>23620027</t>
  </si>
  <si>
    <t>ปรีชา</t>
  </si>
  <si>
    <t>สมบูรณ์</t>
  </si>
  <si>
    <t>Mr.  Preecha  Somboon</t>
  </si>
  <si>
    <t>23560049</t>
  </si>
  <si>
    <t>กระแสโสม</t>
  </si>
  <si>
    <t>Mr.  Apichat  Krasaesom</t>
  </si>
  <si>
    <t>OS2H (B)</t>
  </si>
  <si>
    <t>แผนกปฎิบัติงานกะ OS2H (B)</t>
  </si>
  <si>
    <t>Shift CUP2 Team B</t>
  </si>
  <si>
    <t>0841568827</t>
  </si>
  <si>
    <t>23560099</t>
  </si>
  <si>
    <t>กิตติ</t>
  </si>
  <si>
    <t>เอี่ยมธรรม</t>
  </si>
  <si>
    <t>Mr.  Kitti  Eiamthum</t>
  </si>
  <si>
    <t>0866666940</t>
  </si>
  <si>
    <t>23560112</t>
  </si>
  <si>
    <t>สมยศ</t>
  </si>
  <si>
    <t>ดัชถุยาวัตร</t>
  </si>
  <si>
    <t>Mr.  Somyot  Dutchtuyawat</t>
  </si>
  <si>
    <t>23560118</t>
  </si>
  <si>
    <t>เกียรติยศ</t>
  </si>
  <si>
    <t>ปัญโย</t>
  </si>
  <si>
    <t>Mr.  Kiadtiyods  Panyo</t>
  </si>
  <si>
    <t>0865153251</t>
  </si>
  <si>
    <t>23560216</t>
  </si>
  <si>
    <t>ธีรวุฒิ</t>
  </si>
  <si>
    <t>กอบศิลป์</t>
  </si>
  <si>
    <t>Mr.  Thirawut  Kobsin</t>
  </si>
  <si>
    <t>0936497422</t>
  </si>
  <si>
    <t>23560107</t>
  </si>
  <si>
    <t>นรินทร์</t>
  </si>
  <si>
    <t>นพศิริ</t>
  </si>
  <si>
    <t>Mr.  Narin  Nopsiri</t>
  </si>
  <si>
    <t>OS2H (C)</t>
  </si>
  <si>
    <t>แผนกปฎิบัติงานกะ OS2H (C)</t>
  </si>
  <si>
    <t>Shift CUP2 Team C</t>
  </si>
  <si>
    <t>0944615264</t>
  </si>
  <si>
    <t>23560137</t>
  </si>
  <si>
    <t>ยุทธศักดิ์</t>
  </si>
  <si>
    <t>ดิษยพงษ์</t>
  </si>
  <si>
    <t>Mr.  Yutthasak  Dissayapong</t>
  </si>
  <si>
    <t>23560184</t>
  </si>
  <si>
    <t>ชากิ</t>
  </si>
  <si>
    <t>วสิกรัตน์</t>
  </si>
  <si>
    <t>Mr.  Chaki  Vasigarat</t>
  </si>
  <si>
    <t>086-8260258</t>
  </si>
  <si>
    <t>23560215</t>
  </si>
  <si>
    <t>Mr.  Noppon  Dissayapong</t>
  </si>
  <si>
    <t>23620015</t>
  </si>
  <si>
    <t>อธิพงษ์</t>
  </si>
  <si>
    <t>มันทะโก๋</t>
  </si>
  <si>
    <t>Mr.  Arhipong  Manthako</t>
  </si>
  <si>
    <t>23560101</t>
  </si>
  <si>
    <t>พนม</t>
  </si>
  <si>
    <t>โกสีย์</t>
  </si>
  <si>
    <t>Mr.  Panom  Kosee</t>
  </si>
  <si>
    <t>OS2H (D)</t>
  </si>
  <si>
    <t>แผนกปฎิบัติงานกะ OS2H (D)</t>
  </si>
  <si>
    <t>Shift CUP2 Team D</t>
  </si>
  <si>
    <t>0819498948</t>
  </si>
  <si>
    <t>23560109</t>
  </si>
  <si>
    <t>ประจวบ</t>
  </si>
  <si>
    <t>รักษ์ใจวงค์</t>
  </si>
  <si>
    <t>Mr.  Prajaub  Rakjaiwong</t>
  </si>
  <si>
    <t>23560193</t>
  </si>
  <si>
    <t>จิรพัส</t>
  </si>
  <si>
    <t>คำแสน</t>
  </si>
  <si>
    <t>Mr.  Jirapat  Khamsaen</t>
  </si>
  <si>
    <t>0874949009</t>
  </si>
  <si>
    <t>23570039</t>
  </si>
  <si>
    <t>คมฐิพัฒน์</t>
  </si>
  <si>
    <t>ทองธานี</t>
  </si>
  <si>
    <t>Mr.  Khomthipat  Thongtanee</t>
  </si>
  <si>
    <t>063-7899945</t>
  </si>
  <si>
    <t>23560100</t>
  </si>
  <si>
    <t>ธรรมนิติ</t>
  </si>
  <si>
    <t>หัทยา</t>
  </si>
  <si>
    <t>Mr.  Thammanit  Hattaya</t>
  </si>
  <si>
    <t>-0812619026</t>
  </si>
  <si>
    <t>23560125</t>
  </si>
  <si>
    <t>อนุวัฒน์</t>
  </si>
  <si>
    <t>ศรีโพน</t>
  </si>
  <si>
    <t>Mr.  Anuwat  Sriphon</t>
  </si>
  <si>
    <t>OS3H (A)</t>
  </si>
  <si>
    <t>แผนกปฎิบัติงานกะ OS3H (A)</t>
  </si>
  <si>
    <t>GPSC CUP3-S12</t>
  </si>
  <si>
    <t>Shift CUP3 Team A</t>
  </si>
  <si>
    <t>0651212122</t>
  </si>
  <si>
    <t>23560135</t>
  </si>
  <si>
    <t>รัฐกรณ์</t>
  </si>
  <si>
    <t>ภู่ละออ</t>
  </si>
  <si>
    <t>Mr.  Ratthakorn  Phula-or</t>
  </si>
  <si>
    <t>-0863204268</t>
  </si>
  <si>
    <t>23560179</t>
  </si>
  <si>
    <t>เข็มรส</t>
  </si>
  <si>
    <t>Mr.  Natthawut  Khemros</t>
  </si>
  <si>
    <t>089-1843077</t>
  </si>
  <si>
    <t>23580006</t>
  </si>
  <si>
    <t>วรเชษ</t>
  </si>
  <si>
    <t>นันทจำรูญ</t>
  </si>
  <si>
    <t>Mr.  Worachet  Nanthajamroon</t>
  </si>
  <si>
    <t>0863596255</t>
  </si>
  <si>
    <t>23560060</t>
  </si>
  <si>
    <t>สิทธิมงคล</t>
  </si>
  <si>
    <t>Mr.  Somkeait  Sittimongkol</t>
  </si>
  <si>
    <t>OS3H (B)</t>
  </si>
  <si>
    <t>แผนกปฎิบัติงานกะ OS3H (B)</t>
  </si>
  <si>
    <t>Shift CUP3 Team B</t>
  </si>
  <si>
    <t>23560136</t>
  </si>
  <si>
    <t>ทศพร</t>
  </si>
  <si>
    <t>มีสมรัตน์</t>
  </si>
  <si>
    <t>Mr.  Tossaporn  Meesomrat</t>
  </si>
  <si>
    <t>084-9059310</t>
  </si>
  <si>
    <t>23560138</t>
  </si>
  <si>
    <t>จิตบาล</t>
  </si>
  <si>
    <t>Mr.  Arnon  Chitban</t>
  </si>
  <si>
    <t>23620023</t>
  </si>
  <si>
    <t>เธียรวิทย์</t>
  </si>
  <si>
    <t>เขียวผ่อง</t>
  </si>
  <si>
    <t>Mr.  Thainwit  Khiawphong</t>
  </si>
  <si>
    <t>23560048</t>
  </si>
  <si>
    <t>ภัคนัฐอนันต์</t>
  </si>
  <si>
    <t>ลำเจียกสกุล</t>
  </si>
  <si>
    <t>Mr.  Paknatanun  Lamjieksakul</t>
  </si>
  <si>
    <t>OS3H (C)</t>
  </si>
  <si>
    <t>แผนกปฎิบัติงานกะ OS3H (C)</t>
  </si>
  <si>
    <t>Shift CUP3 Team C</t>
  </si>
  <si>
    <t>0889691978</t>
  </si>
  <si>
    <t>23560059</t>
  </si>
  <si>
    <t>ตรีเมศ</t>
  </si>
  <si>
    <t>ดิษฐสกุล</t>
  </si>
  <si>
    <t>Mr.  Treemate  Ditsakul</t>
  </si>
  <si>
    <t>096-9463914</t>
  </si>
  <si>
    <t>23560158</t>
  </si>
  <si>
    <t>วิชัย</t>
  </si>
  <si>
    <t>สิงห์โต</t>
  </si>
  <si>
    <t>Mr.  Wichai  Singto</t>
  </si>
  <si>
    <t>-0810025976</t>
  </si>
  <si>
    <t>23560219</t>
  </si>
  <si>
    <t>สาธิต</t>
  </si>
  <si>
    <t>ดวงจันทร์</t>
  </si>
  <si>
    <t>Mr.  Satit  Duangchan</t>
  </si>
  <si>
    <t>0894874491</t>
  </si>
  <si>
    <t>23560047</t>
  </si>
  <si>
    <t>ไชยฉัตร</t>
  </si>
  <si>
    <t>Mr.  Chaichat  Chauesuk</t>
  </si>
  <si>
    <t>OS3H (D)</t>
  </si>
  <si>
    <t>แผนกปฎิบัติงานกะ OS3H (D)</t>
  </si>
  <si>
    <t>Shift CUP3 Team D</t>
  </si>
  <si>
    <t>-0859451455</t>
  </si>
  <si>
    <t>23560058</t>
  </si>
  <si>
    <t>ทวี</t>
  </si>
  <si>
    <t>นวลแก้ว</t>
  </si>
  <si>
    <t>Mr.  Tawee  Nualkaew</t>
  </si>
  <si>
    <t>23560157</t>
  </si>
  <si>
    <t>ชาตรี</t>
  </si>
  <si>
    <t>ปราโมทย์</t>
  </si>
  <si>
    <t>Mr.  Chatree  Pramote</t>
  </si>
  <si>
    <t>086-7227378</t>
  </si>
  <si>
    <t>23580011</t>
  </si>
  <si>
    <t>บุญช่วยเหลือ</t>
  </si>
  <si>
    <t>Mr.  Anucha  Boonchueyluea</t>
  </si>
  <si>
    <t>0982735014</t>
  </si>
  <si>
    <t>23560019</t>
  </si>
  <si>
    <t>รัชวุฒิ</t>
  </si>
  <si>
    <t>เกียรติพรพิทักษ์</t>
  </si>
  <si>
    <t>Mr.  Rutchawut  Keatpornpitak</t>
  </si>
  <si>
    <t>OS4H (A)</t>
  </si>
  <si>
    <t>แผนกปฎิบัติงานกะ OS4H (A)</t>
  </si>
  <si>
    <t>GPSC CUP4-S12</t>
  </si>
  <si>
    <t>Shift CUP4 Team A</t>
  </si>
  <si>
    <t>23560061</t>
  </si>
  <si>
    <t>อดิศร</t>
  </si>
  <si>
    <t>วิระวัฒน์</t>
  </si>
  <si>
    <t>Mr.  Adisorn  Virawat</t>
  </si>
  <si>
    <t>0816885914</t>
  </si>
  <si>
    <t>23560183</t>
  </si>
  <si>
    <t>ภัทรพงศ์</t>
  </si>
  <si>
    <t>แก้วสกุณี</t>
  </si>
  <si>
    <t>Mr.  Pattarapong  Kaewsakunee</t>
  </si>
  <si>
    <t>23620018</t>
  </si>
  <si>
    <t>กฤษดา</t>
  </si>
  <si>
    <t>กลิ้งพไล</t>
  </si>
  <si>
    <t>Mr.  Kritsada  Klingpalai</t>
  </si>
  <si>
    <t>23560018</t>
  </si>
  <si>
    <t>สุวัฒน์ชัย</t>
  </si>
  <si>
    <t>นิกูลกาญจน์</t>
  </si>
  <si>
    <t>Mr.  Suwatchai  Nikulkarn</t>
  </si>
  <si>
    <t>OS4H (B)</t>
  </si>
  <si>
    <t>แผนกปฎิบัติงานกะ OS4H (B)</t>
  </si>
  <si>
    <t>Shift CUP4 Team B</t>
  </si>
  <si>
    <t>0817522954</t>
  </si>
  <si>
    <t>23560078</t>
  </si>
  <si>
    <t>ไทยสุริโย</t>
  </si>
  <si>
    <t>Mr.  Somphob  Thaisuriyo</t>
  </si>
  <si>
    <t>-0812957878</t>
  </si>
  <si>
    <t>23560105</t>
  </si>
  <si>
    <t>อณุกูล</t>
  </si>
  <si>
    <t>มั่งศรีศุข</t>
  </si>
  <si>
    <t>Mr.  Anukoon  Mungsrisuk</t>
  </si>
  <si>
    <t>0882931214</t>
  </si>
  <si>
    <t>23620019</t>
  </si>
  <si>
    <t>ศกาภัส</t>
  </si>
  <si>
    <t>แช่มเชื้อ</t>
  </si>
  <si>
    <t>Mr.  Sakapat  Chamchuer</t>
  </si>
  <si>
    <t>23560024</t>
  </si>
  <si>
    <t>เจริญศักดิ์</t>
  </si>
  <si>
    <t>เกิดเนตร</t>
  </si>
  <si>
    <t>Mr.  Charoensak  Kerdnate</t>
  </si>
  <si>
    <t>OS4H (C)</t>
  </si>
  <si>
    <t>แผนกปฎิบัติงานกะ OS4H (C)</t>
  </si>
  <si>
    <t>Shift CUP4 Team C</t>
  </si>
  <si>
    <t>23560108</t>
  </si>
  <si>
    <t>เชิดศักดิ์</t>
  </si>
  <si>
    <t>ธรรมวุฒา</t>
  </si>
  <si>
    <t>Mr.  Cherdsak  Thumwuta</t>
  </si>
  <si>
    <t>0954287461</t>
  </si>
  <si>
    <t>23570016</t>
  </si>
  <si>
    <t>วรดนัย</t>
  </si>
  <si>
    <t>ภูมิสถิตย์พงษ์</t>
  </si>
  <si>
    <t>Mr.  Voradanai  Poomstitpong</t>
  </si>
  <si>
    <t>-0823661955</t>
  </si>
  <si>
    <t>23620020</t>
  </si>
  <si>
    <t>ภูมิเรศน์</t>
  </si>
  <si>
    <t>ตันทา</t>
  </si>
  <si>
    <t>Mr.  Phumiret  Tantha</t>
  </si>
  <si>
    <t>23560110</t>
  </si>
  <si>
    <t>จักรพงษ์</t>
  </si>
  <si>
    <t>แนวชาลี</t>
  </si>
  <si>
    <t>Mr.  Jahkapong  Neanchalee</t>
  </si>
  <si>
    <t>OS4H (D)</t>
  </si>
  <si>
    <t>แผนกปฎิบัติงานกะ OS4H (D)</t>
  </si>
  <si>
    <t>Shift CUP4 Team D</t>
  </si>
  <si>
    <t>23560181</t>
  </si>
  <si>
    <t>วิฑูรย์</t>
  </si>
  <si>
    <t>แซ่อึ๊ง</t>
  </si>
  <si>
    <t>Mr.  Witoon  Saeoueng</t>
  </si>
  <si>
    <t>23560207</t>
  </si>
  <si>
    <t>ฐานัน</t>
  </si>
  <si>
    <t>เฉลยถิ่น</t>
  </si>
  <si>
    <t>Mr.  Thanan  Chaloeithin</t>
  </si>
  <si>
    <t>0639074255</t>
  </si>
  <si>
    <t>23620021</t>
  </si>
  <si>
    <t>วัชรากร</t>
  </si>
  <si>
    <t>มณีนิล</t>
  </si>
  <si>
    <t>Mr.  Vatchalakron  Maneenil</t>
  </si>
  <si>
    <t>23560006</t>
  </si>
  <si>
    <t>ธนาพล</t>
  </si>
  <si>
    <t>โรจน์ชวิน</t>
  </si>
  <si>
    <t>Mr.  Thanaphol  Roajawin</t>
  </si>
  <si>
    <t>OSH (A)</t>
  </si>
  <si>
    <t>แผนกปฎิบัติงานกะ OSH (A)</t>
  </si>
  <si>
    <t>ส่วนปฏิบัติการผลิต โรงไฟฟ้าศรีราชา</t>
  </si>
  <si>
    <t>GPSC IPP1-S12</t>
  </si>
  <si>
    <t>New Shift Sriracha Team D</t>
  </si>
  <si>
    <t>0860984299</t>
  </si>
  <si>
    <t>23560008</t>
  </si>
  <si>
    <t>พิทย</t>
  </si>
  <si>
    <t>พรมวัง</t>
  </si>
  <si>
    <t>Mr.  Phitaya  Promvung</t>
  </si>
  <si>
    <t>New Shift Sriracha Team A</t>
  </si>
  <si>
    <t>0818320194</t>
  </si>
  <si>
    <t>23560030</t>
  </si>
  <si>
    <t>สุพรรณ</t>
  </si>
  <si>
    <t>ผลชะอุ่ม</t>
  </si>
  <si>
    <t>Mr.  Supun  Pholchaoum</t>
  </si>
  <si>
    <t>0845636228</t>
  </si>
  <si>
    <t>23620016</t>
  </si>
  <si>
    <t>จิรายุ</t>
  </si>
  <si>
    <t>วังคีรี</t>
  </si>
  <si>
    <t>Mr.  Jirayu  Wangkeeree</t>
  </si>
  <si>
    <t>23560005</t>
  </si>
  <si>
    <t>เอกวุฒิ</t>
  </si>
  <si>
    <t>สุวรรธนะกุล</t>
  </si>
  <si>
    <t>Mr.  Ekkawut  Suwantanagul</t>
  </si>
  <si>
    <t>OSH (B)</t>
  </si>
  <si>
    <t>แผนกปฎิบัติงานกะ OSH (B)</t>
  </si>
  <si>
    <t>New Shift Sriracha Team B</t>
  </si>
  <si>
    <t>-0815778700</t>
  </si>
  <si>
    <t>23560009</t>
  </si>
  <si>
    <t>ทองหนูรุ่ง</t>
  </si>
  <si>
    <t>Mr.  Manop  Thonghnurung</t>
  </si>
  <si>
    <t>0818613019</t>
  </si>
  <si>
    <t>23560025</t>
  </si>
  <si>
    <t>อดิศักดิ์</t>
  </si>
  <si>
    <t>วงศ์จันทร์</t>
  </si>
  <si>
    <t>Mr.  Adisak  Wongjun</t>
  </si>
  <si>
    <t>23620017</t>
  </si>
  <si>
    <t>จิรภัทร</t>
  </si>
  <si>
    <t>จันทร์ช่วย</t>
  </si>
  <si>
    <t>Mr.  Jirapat  Chanchuay</t>
  </si>
  <si>
    <t>23560003</t>
  </si>
  <si>
    <t>ชาไชย</t>
  </si>
  <si>
    <t>Mr.  Adisak  Chachai</t>
  </si>
  <si>
    <t>OSH (C)</t>
  </si>
  <si>
    <t>แผนกปฎิบัติงานกะ OSH (C)</t>
  </si>
  <si>
    <t>New Shift Sriracha Team C</t>
  </si>
  <si>
    <t>089-9361498</t>
  </si>
  <si>
    <t>23560023</t>
  </si>
  <si>
    <t>จันทร์ปาน</t>
  </si>
  <si>
    <t>Mr.  Prateep  Chanpan</t>
  </si>
  <si>
    <t>23560075</t>
  </si>
  <si>
    <t>จิรโรจน์</t>
  </si>
  <si>
    <t>เตชะวัฒนวรรณา</t>
  </si>
  <si>
    <t>Mr.  Jirarote  Techawatanawana</t>
  </si>
  <si>
    <t>0891371984</t>
  </si>
  <si>
    <t>23620047</t>
  </si>
  <si>
    <t>อนุพล</t>
  </si>
  <si>
    <t>โนนเทา</t>
  </si>
  <si>
    <t>Mr.  Anupon  Nonthao</t>
  </si>
  <si>
    <t>23560004</t>
  </si>
  <si>
    <t>อิ่มฤทัย</t>
  </si>
  <si>
    <t>Mr.  Anan  Imruthai</t>
  </si>
  <si>
    <t>OSH (D)</t>
  </si>
  <si>
    <t>แผนกปฎิบัติงานกะ OSH (D)</t>
  </si>
  <si>
    <t>089-8341801</t>
  </si>
  <si>
    <t>23560011</t>
  </si>
  <si>
    <t>วีรพจน์</t>
  </si>
  <si>
    <t>พรหมสวัสดิ์</t>
  </si>
  <si>
    <t>Mr.  Veerapot  Phomsawas</t>
  </si>
  <si>
    <t>23560190</t>
  </si>
  <si>
    <t>พลวัต</t>
  </si>
  <si>
    <t>เกตุพุฒ</t>
  </si>
  <si>
    <t>Mr.  Ponlawat  Gadpute</t>
  </si>
  <si>
    <t>0802839044</t>
  </si>
  <si>
    <t>23620025</t>
  </si>
  <si>
    <t>พิสิษฐ์</t>
  </si>
  <si>
    <t>ดีนิสสัย</t>
  </si>
  <si>
    <t>Mr.  Pisit  Denissai</t>
  </si>
  <si>
    <t>23560022</t>
  </si>
  <si>
    <t>พีรพรหม</t>
  </si>
  <si>
    <t>ศิริธนศักดิ์</t>
  </si>
  <si>
    <t>Mr.  Peraproom  Siritanasak</t>
  </si>
  <si>
    <t>OSM</t>
  </si>
  <si>
    <t>0801002525</t>
  </si>
  <si>
    <t>23630146</t>
  </si>
  <si>
    <t>ปภาสิภัค</t>
  </si>
  <si>
    <t>ขวัญรัตน์</t>
  </si>
  <si>
    <t>Miss  Paphasipak  Kwanrat</t>
  </si>
  <si>
    <t xml:space="preserve"> Procurement Officer</t>
  </si>
  <si>
    <t xml:space="preserve"> พนักงานจัดซื้อจัดหา</t>
  </si>
  <si>
    <t>PCM</t>
  </si>
  <si>
    <t>ส่วนจัดซื้อจัดหาถ่านหิน</t>
  </si>
  <si>
    <t>ฝ่ายจัดซื้อ</t>
  </si>
  <si>
    <t>23630240</t>
  </si>
  <si>
    <t>พัทธมน</t>
  </si>
  <si>
    <t>Miss  Pattamon  Uthairat</t>
  </si>
  <si>
    <t xml:space="preserve"> Procurement, Coal Division Manager</t>
  </si>
  <si>
    <t xml:space="preserve"> ผู้จัดการส่วนจัดซื้อจัดหาถ่านหิน</t>
  </si>
  <si>
    <t>089-2056727</t>
  </si>
  <si>
    <t>23630310</t>
  </si>
  <si>
    <t>รวีศรี</t>
  </si>
  <si>
    <t>ตันตระกูล</t>
  </si>
  <si>
    <t>Miss  Raweesri  Thantrakool</t>
  </si>
  <si>
    <t>23630384</t>
  </si>
  <si>
    <t>ชยากร</t>
  </si>
  <si>
    <t>คุณาจิตพิมล</t>
  </si>
  <si>
    <t>Miss  Chayakorn  Kunajitpimol</t>
  </si>
  <si>
    <t xml:space="preserve"> Procurement Section Manager</t>
  </si>
  <si>
    <t xml:space="preserve"> ผู้จัดการแผนกจัดซื้อจัดหา</t>
  </si>
  <si>
    <t>089-8100895</t>
  </si>
  <si>
    <t>23630398</t>
  </si>
  <si>
    <t>พรวิภา</t>
  </si>
  <si>
    <t>สุทธิวรสิน</t>
  </si>
  <si>
    <t>Miss  Pondwipa  Suthiworasin</t>
  </si>
  <si>
    <t>23560094</t>
  </si>
  <si>
    <t>ชวนพิศ</t>
  </si>
  <si>
    <t>ไชยประเสริฐ</t>
  </si>
  <si>
    <t>Mrs.  Chuanpit  Chaiprasert</t>
  </si>
  <si>
    <t>PPM</t>
  </si>
  <si>
    <t>ส่วนจัดซื้อจัดหา  - พท.กรุงเทพและโครงการ</t>
  </si>
  <si>
    <t>23630385</t>
  </si>
  <si>
    <t>เบญญาภา</t>
  </si>
  <si>
    <t>Miss  Benyapha  Kaewpardit</t>
  </si>
  <si>
    <t>085-4851428</t>
  </si>
  <si>
    <t>23560083</t>
  </si>
  <si>
    <t>ไพริน</t>
  </si>
  <si>
    <t>โมกขะเวส</t>
  </si>
  <si>
    <t>Mrs.  Pairin  Mokkhavesa</t>
  </si>
  <si>
    <t xml:space="preserve"> Senior Procurement Officer</t>
  </si>
  <si>
    <t xml:space="preserve"> พนักงานจัดซื้อจัดหาอาวุโส</t>
  </si>
  <si>
    <t>PPV</t>
  </si>
  <si>
    <t>หน่วยจัดซื้อจัดหา - ประจำพื้นที่โรงไฟฟ้า</t>
  </si>
  <si>
    <t>23560079</t>
  </si>
  <si>
    <t>สุรัสวดี</t>
  </si>
  <si>
    <t>สุวรรณศรี</t>
  </si>
  <si>
    <t>Miss  Surassawadee  Suwannasri</t>
  </si>
  <si>
    <t>-0954684681</t>
  </si>
  <si>
    <t>23630025</t>
  </si>
  <si>
    <t>เธียรทศพล</t>
  </si>
  <si>
    <t>Miss  Doungporn  Thientospol</t>
  </si>
  <si>
    <t>23630038</t>
  </si>
  <si>
    <t>นุสรา</t>
  </si>
  <si>
    <t>ศิริสวัสดิ์</t>
  </si>
  <si>
    <t>Mrs.  Nussara  Sirisawat</t>
  </si>
  <si>
    <t>23630052</t>
  </si>
  <si>
    <t>วรเลิศ</t>
  </si>
  <si>
    <t>Mrs.  Kwanchai  Woralert</t>
  </si>
  <si>
    <t xml:space="preserve"> Customs Clearance Officer</t>
  </si>
  <si>
    <t xml:space="preserve"> พนักงานพิธีการศุลกากร</t>
  </si>
  <si>
    <t>23630111</t>
  </si>
  <si>
    <t>พุทธธรรมรักษา</t>
  </si>
  <si>
    <t>Mr.  Prateep  Puthamrugsa</t>
  </si>
  <si>
    <t xml:space="preserve"> Vice President Procurement, Plant</t>
  </si>
  <si>
    <t xml:space="preserve"> ผู้จัดการฝ่ายจัดซื้อจัดหา - ประจำพื้นที่โรงไฟฟ้า</t>
  </si>
  <si>
    <t>089-8962349</t>
  </si>
  <si>
    <t>23630118</t>
  </si>
  <si>
    <t>วรทัต</t>
  </si>
  <si>
    <t>เลิศเจริญ</t>
  </si>
  <si>
    <t>Mr.  Voratat  Lertchalern</t>
  </si>
  <si>
    <t xml:space="preserve"> พนักงานจัดหาอาวุโส</t>
  </si>
  <si>
    <t>23630130</t>
  </si>
  <si>
    <t>ชนัดดา</t>
  </si>
  <si>
    <t>สูงนารถ</t>
  </si>
  <si>
    <t>Miss  Chanadda  Soongnart</t>
  </si>
  <si>
    <t>23630166</t>
  </si>
  <si>
    <t>ศิริวงศ์</t>
  </si>
  <si>
    <t>Miss  Atchara  Siriwong</t>
  </si>
  <si>
    <t>084-7001545</t>
  </si>
  <si>
    <t>23630204</t>
  </si>
  <si>
    <t>ชลธิชา</t>
  </si>
  <si>
    <t>ชุ่มชื่น</t>
  </si>
  <si>
    <t>Miss  Chonthicha  Chumchen</t>
  </si>
  <si>
    <t>23630210</t>
  </si>
  <si>
    <t>เพ็ญโพยม</t>
  </si>
  <si>
    <t>รื่นรมย์</t>
  </si>
  <si>
    <t>Mrs.  Penpayom  Ruenrom</t>
  </si>
  <si>
    <t>23630322</t>
  </si>
  <si>
    <t>ชนิดาภา</t>
  </si>
  <si>
    <t>ดำหรื่อ</t>
  </si>
  <si>
    <t>Miss  Chanidapha  Dumrue</t>
  </si>
  <si>
    <t>23630335</t>
  </si>
  <si>
    <t>ศิริเนตร</t>
  </si>
  <si>
    <t>พลดร</t>
  </si>
  <si>
    <t>Miss  Sirinate  Poldorn</t>
  </si>
  <si>
    <t>23630353</t>
  </si>
  <si>
    <t>ณิชชา</t>
  </si>
  <si>
    <t>โทนอ่อน</t>
  </si>
  <si>
    <t>Miss  Nitcha  Tone-on</t>
  </si>
  <si>
    <t>23630354</t>
  </si>
  <si>
    <t>จันทัปปภา</t>
  </si>
  <si>
    <t>รัศมีบัณฑิต</t>
  </si>
  <si>
    <t>Mrs.  Janthappapha  Ratsameebundit</t>
  </si>
  <si>
    <t>23630373</t>
  </si>
  <si>
    <t>ปนัดดา</t>
  </si>
  <si>
    <t>คงความสุข</t>
  </si>
  <si>
    <t>Miss  Panatda  Kongkwamsukh</t>
  </si>
  <si>
    <t>23630379</t>
  </si>
  <si>
    <t>พลอยกมล</t>
  </si>
  <si>
    <t>แก้วภราดัย</t>
  </si>
  <si>
    <t>Miss  Ploykamon  Kaewparadai</t>
  </si>
  <si>
    <t>23630392</t>
  </si>
  <si>
    <t>พนิตา</t>
  </si>
  <si>
    <t>ไรวตากุล</t>
  </si>
  <si>
    <t>Miss  Panita  Raivatakul</t>
  </si>
  <si>
    <t>23600030</t>
  </si>
  <si>
    <t>พฤทธิ์</t>
  </si>
  <si>
    <t>คัมภีร์</t>
  </si>
  <si>
    <t>Mr.  Pruet  Kampee</t>
  </si>
  <si>
    <t xml:space="preserve"> Supply chain and Strategic Procurement Division Manager</t>
  </si>
  <si>
    <t xml:space="preserve"> ผู้จัดการส่วนกลยุทธ์จัดซื้อจัดหา</t>
  </si>
  <si>
    <t>PSM</t>
  </si>
  <si>
    <t>ส่วนกลยุทธ์จัดซื้อจัดหา</t>
  </si>
  <si>
    <t>0899247072</t>
  </si>
  <si>
    <t>23630497</t>
  </si>
  <si>
    <t>รวิวรรณ</t>
  </si>
  <si>
    <t>เจริญภักดี</t>
  </si>
  <si>
    <t>Miss  Rawiwan  Charoenpakdee</t>
  </si>
  <si>
    <t xml:space="preserve"> Senior Strategic Procurement Officer</t>
  </si>
  <si>
    <t xml:space="preserve"> พนักงานกลยุทธ์จัดซื้อจัดหาอาวุโส</t>
  </si>
  <si>
    <t>23630237</t>
  </si>
  <si>
    <t>ณพัชร</t>
  </si>
  <si>
    <t>ปางปัญญากุลชัย</t>
  </si>
  <si>
    <t>Miss  Naphat  Pangpanyaakulchai</t>
  </si>
  <si>
    <t xml:space="preserve"> Strategic Procurement Section Manager</t>
  </si>
  <si>
    <t xml:space="preserve"> ผู้จัดการแผนกกลยุทธ์จัดซื้อจัดหา</t>
  </si>
  <si>
    <t>081-1715461</t>
  </si>
  <si>
    <t>23630019</t>
  </si>
  <si>
    <t>อัครินทร์</t>
  </si>
  <si>
    <t>ประเทืองสิทธิ์</t>
  </si>
  <si>
    <t>Mr.  Akarin  Prathuangsit</t>
  </si>
  <si>
    <t xml:space="preserve"> Senior Vice President Supply Chain Management</t>
  </si>
  <si>
    <t xml:space="preserve"> ผู้จัดการฝ่ายอาวุโสสายงานจัดซื้อ</t>
  </si>
  <si>
    <t>PSS</t>
  </si>
  <si>
    <t>089-2059270</t>
  </si>
  <si>
    <t>23630212</t>
  </si>
  <si>
    <t>วิไลพร</t>
  </si>
  <si>
    <t>ช่วยโชติ</t>
  </si>
  <si>
    <t>Miss  Wilaiporn  Chuaychote</t>
  </si>
  <si>
    <t>23630298</t>
  </si>
  <si>
    <t>นาคโนทศ</t>
  </si>
  <si>
    <t>Mr.  Watchara  Naknotod</t>
  </si>
  <si>
    <t xml:space="preserve"> Warehouse Management Officer</t>
  </si>
  <si>
    <t xml:space="preserve"> พนักงานบริหารคลังพัสดุ</t>
  </si>
  <si>
    <t>PWT1</t>
  </si>
  <si>
    <t>แผนกคลังพัสดุ 1</t>
  </si>
  <si>
    <t>089-2059264</t>
  </si>
  <si>
    <t>23630021</t>
  </si>
  <si>
    <t>นวรัตน์</t>
  </si>
  <si>
    <t>ละมัย</t>
  </si>
  <si>
    <t>Miss  Navarat  Lamai</t>
  </si>
  <si>
    <t>23630071</t>
  </si>
  <si>
    <t>อุบลรัตน์</t>
  </si>
  <si>
    <t>Mr.  Anucha  Ubolrat</t>
  </si>
  <si>
    <t xml:space="preserve"> Warehouse Section Manager</t>
  </si>
  <si>
    <t xml:space="preserve"> ผู้จัดการแผนกคลังพัสดุ 1</t>
  </si>
  <si>
    <t>089-2057068</t>
  </si>
  <si>
    <t>23630302</t>
  </si>
  <si>
    <t>สุขสันติ์</t>
  </si>
  <si>
    <t>จันทะบูลย์</t>
  </si>
  <si>
    <t>Mr.  Suksan  Chanthaboon</t>
  </si>
  <si>
    <t>23630321</t>
  </si>
  <si>
    <t>ราม</t>
  </si>
  <si>
    <t>คงสำราญ</t>
  </si>
  <si>
    <t>Mr.  Rahm  Khongsamran</t>
  </si>
  <si>
    <t>23630341</t>
  </si>
  <si>
    <t>อนุพงษ์</t>
  </si>
  <si>
    <t>พาทีทิน</t>
  </si>
  <si>
    <t>Mr.  Anupong  Patetin</t>
  </si>
  <si>
    <t>23630342</t>
  </si>
  <si>
    <t>นฤพนธ์</t>
  </si>
  <si>
    <t>ประกอบสิน</t>
  </si>
  <si>
    <t>Mr.  Narupon  Prakobsin</t>
  </si>
  <si>
    <t>23630369</t>
  </si>
  <si>
    <t>ชยุติ</t>
  </si>
  <si>
    <t>สุวรรณวิจิตร</t>
  </si>
  <si>
    <t>Mr.  Chayut  Suwanwijit</t>
  </si>
  <si>
    <t>23630416</t>
  </si>
  <si>
    <t>เชยชุ่ม</t>
  </si>
  <si>
    <t>Mr.  Chaowalit  Cheychum</t>
  </si>
  <si>
    <t>23560142</t>
  </si>
  <si>
    <t>บุญยัง</t>
  </si>
  <si>
    <t>สุขมา</t>
  </si>
  <si>
    <t>Miss  Boonyang  Sookma</t>
  </si>
  <si>
    <t xml:space="preserve"> ผู้จัดการแผนกคลังพัสดุ 2</t>
  </si>
  <si>
    <t>PWT2</t>
  </si>
  <si>
    <t>แผนกคลังพัสดุ 2</t>
  </si>
  <si>
    <t>0935273987</t>
  </si>
  <si>
    <t>23560128</t>
  </si>
  <si>
    <t>ชินโชติ</t>
  </si>
  <si>
    <t>แก้วจาเครือ</t>
  </si>
  <si>
    <t>Mr.  Chinachot  Kaewjakaer</t>
  </si>
  <si>
    <t>089-932-0982</t>
  </si>
  <si>
    <t>23640007</t>
  </si>
  <si>
    <t>ปัทมปราณี</t>
  </si>
  <si>
    <t>Miss  Sojirat  Pattamapranee</t>
  </si>
  <si>
    <t xml:space="preserve"> Human Resources Officer</t>
  </si>
  <si>
    <t xml:space="preserve"> พนักงานทรัพยากรบุคคล</t>
  </si>
  <si>
    <t>RES</t>
  </si>
  <si>
    <t>ฝ่ายบริหารศักยภาพองค์กร</t>
  </si>
  <si>
    <t>23630054</t>
  </si>
  <si>
    <t>อรพรรณ</t>
  </si>
  <si>
    <t>ประเสริฐสุข</t>
  </si>
  <si>
    <t>Mrs.  Orraphan  Prasertsook</t>
  </si>
  <si>
    <t>23630223</t>
  </si>
  <si>
    <t>ศาลิดา</t>
  </si>
  <si>
    <t>Mrs.  Salida  Seneewong  Na  Ayutthaya</t>
  </si>
  <si>
    <t>089-2053865</t>
  </si>
  <si>
    <t>23630305</t>
  </si>
  <si>
    <t>จริยา</t>
  </si>
  <si>
    <t>ดำรงโฆษิต</t>
  </si>
  <si>
    <t>Miss  Jariya  Dumrongkosit</t>
  </si>
  <si>
    <t>23630317</t>
  </si>
  <si>
    <t>อรัญญา</t>
  </si>
  <si>
    <t>พัฒนวงศ์สวัสดิ์</t>
  </si>
  <si>
    <t>Mrs.  Aranya  Pattanavongsawat</t>
  </si>
  <si>
    <t>085-4886640</t>
  </si>
  <si>
    <t>23630375</t>
  </si>
  <si>
    <t>วันวิสาข์</t>
  </si>
  <si>
    <t>พูลทองคำ</t>
  </si>
  <si>
    <t>Miss  Wanvisa  Poonthongkum</t>
  </si>
  <si>
    <t>23630414</t>
  </si>
  <si>
    <t>อัญชนา</t>
  </si>
  <si>
    <t>ทฤษฎิคุณ</t>
  </si>
  <si>
    <t>Miss  Anchana  Tidsadikhun</t>
  </si>
  <si>
    <t xml:space="preserve"> ผู้จัดการฝ่าย</t>
  </si>
  <si>
    <t>061-4193727</t>
  </si>
  <si>
    <t>23560073</t>
  </si>
  <si>
    <t>สุฑาลักษณ์</t>
  </si>
  <si>
    <t>Miss  Suthaluk  Yolyaem</t>
  </si>
  <si>
    <t xml:space="preserve"> Senior Human Resources Officer</t>
  </si>
  <si>
    <t xml:space="preserve"> พนักงานทรัพยากรบุคคลอาวุโส</t>
  </si>
  <si>
    <t>089-8835532</t>
  </si>
  <si>
    <t>23560076</t>
  </si>
  <si>
    <t>พิจักษณา</t>
  </si>
  <si>
    <t>บุญยะประสิทธิ์</t>
  </si>
  <si>
    <t>Mrs.  Pijaksana  Boonyaprasit</t>
  </si>
  <si>
    <t>23560153</t>
  </si>
  <si>
    <t>สุนทราภรณ์</t>
  </si>
  <si>
    <t>เรืองจินดา</t>
  </si>
  <si>
    <t>Miss  Soontaraporn  Ruangjinda</t>
  </si>
  <si>
    <t>23560189</t>
  </si>
  <si>
    <t>ศิรา</t>
  </si>
  <si>
    <t>จันทร์เต็มดวง</t>
  </si>
  <si>
    <t>Mr.  Sira  Chantemduang</t>
  </si>
  <si>
    <t>0898120710</t>
  </si>
  <si>
    <t>23570003</t>
  </si>
  <si>
    <t>นิรมล</t>
  </si>
  <si>
    <t>ฤดีสุนันท์</t>
  </si>
  <si>
    <t>Mrs.  Niramol  Luedeesununt</t>
  </si>
  <si>
    <t>23580005</t>
  </si>
  <si>
    <t>วสวัฒน์</t>
  </si>
  <si>
    <t>เลิศไตรภพ</t>
  </si>
  <si>
    <t>Mr.  Wasawat  Lerdtripob</t>
  </si>
  <si>
    <t xml:space="preserve"> Management Trainee</t>
  </si>
  <si>
    <t>23590006</t>
  </si>
  <si>
    <t>ธนะวัง</t>
  </si>
  <si>
    <t>Miss  Rawissara  Thanawang</t>
  </si>
  <si>
    <t>23590011</t>
  </si>
  <si>
    <t>ภูเบศร์</t>
  </si>
  <si>
    <t>นิ่มปุญญกำพงษ์</t>
  </si>
  <si>
    <t>Mr.  Phubase  Nimpunyakampong</t>
  </si>
  <si>
    <t>0845626496</t>
  </si>
  <si>
    <t>23590024</t>
  </si>
  <si>
    <t>กัญชรส</t>
  </si>
  <si>
    <t>สนิมทอง</t>
  </si>
  <si>
    <t>Miss  Kancharos  Sanimtong</t>
  </si>
  <si>
    <t>23600009</t>
  </si>
  <si>
    <t>วริษฐ์</t>
  </si>
  <si>
    <t>ศรีประเสริฐ</t>
  </si>
  <si>
    <t>Mr.  Warit  Sriprasert</t>
  </si>
  <si>
    <t>-0847017117</t>
  </si>
  <si>
    <t>23600014</t>
  </si>
  <si>
    <t>ทัศสุชา</t>
  </si>
  <si>
    <t>แสงพฤกษ์</t>
  </si>
  <si>
    <t>Mrs.  Tassucha  Sangprueksa</t>
  </si>
  <si>
    <t>0818579378</t>
  </si>
  <si>
    <t>23600019</t>
  </si>
  <si>
    <t>ไอรินทร์</t>
  </si>
  <si>
    <t>สิริทัศนวัฒน์</t>
  </si>
  <si>
    <t>Miss  Irine  Sirithatsanawat</t>
  </si>
  <si>
    <t>23600043</t>
  </si>
  <si>
    <t>ฉัตรทิพย์</t>
  </si>
  <si>
    <t>ภูชฎาภิรมย์</t>
  </si>
  <si>
    <t>Miss  Chattip  Puchadapirom</t>
  </si>
  <si>
    <t>23610005</t>
  </si>
  <si>
    <t>ชินภัทร์</t>
  </si>
  <si>
    <t>สุวรรณพุ่ม</t>
  </si>
  <si>
    <t>Mr.  Shinapat  Suwanpoom</t>
  </si>
  <si>
    <t>0865998921</t>
  </si>
  <si>
    <t>23610043</t>
  </si>
  <si>
    <t>มหิกูล</t>
  </si>
  <si>
    <t>Miss  Supaporn  Mahikun</t>
  </si>
  <si>
    <t>23620041</t>
  </si>
  <si>
    <t>รังรองธานินทร์</t>
  </si>
  <si>
    <t>Miss  Supattra  Rungrongtaanin</t>
  </si>
  <si>
    <t>23620059</t>
  </si>
  <si>
    <t>กือเย็น</t>
  </si>
  <si>
    <t>Mr.  Narongchai  Kueyen</t>
  </si>
  <si>
    <t>23630001</t>
  </si>
  <si>
    <t>นริศา</t>
  </si>
  <si>
    <t>ธรรมอุปกรณ์</t>
  </si>
  <si>
    <t>Miss  Narisa  Tumma-upakorn</t>
  </si>
  <si>
    <t xml:space="preserve"> SVP Organization Effectiveness</t>
  </si>
  <si>
    <t xml:space="preserve"> ผู้จัดการฝ่ายอาวุโสบริหารศักยภาพองค์กร</t>
  </si>
  <si>
    <t>23630307</t>
  </si>
  <si>
    <t>ปริศนา</t>
  </si>
  <si>
    <t>เครือใจวัง</t>
  </si>
  <si>
    <t>Miss  Prisana  Kreujaiwang</t>
  </si>
  <si>
    <t>23630477</t>
  </si>
  <si>
    <t>ปรุฬห์</t>
  </si>
  <si>
    <t>กีรติธเนศกุล</t>
  </si>
  <si>
    <t>MR.  Paroon  Keeratitaneskul</t>
  </si>
  <si>
    <t>23560134</t>
  </si>
  <si>
    <t>พิมพ์ชนก</t>
  </si>
  <si>
    <t>ปาปะแพ</t>
  </si>
  <si>
    <t>Miss  Pimchanok  Papaphae</t>
  </si>
  <si>
    <t>0810046691</t>
  </si>
  <si>
    <t>23620007</t>
  </si>
  <si>
    <t>ชนาธินาถ</t>
  </si>
  <si>
    <t>พรสุขสว่าง</t>
  </si>
  <si>
    <t>Mrs.  Chanatinat  Pornsuksawang</t>
  </si>
  <si>
    <t>23630165</t>
  </si>
  <si>
    <t>กัลยา</t>
  </si>
  <si>
    <t>ศิริปัญจนะ</t>
  </si>
  <si>
    <t>Mrs.  Kalaya  Siripanjana</t>
  </si>
  <si>
    <t>089-2057058</t>
  </si>
  <si>
    <t>23630222</t>
  </si>
  <si>
    <t>วรวิทย์</t>
  </si>
  <si>
    <t>เอื้ออนุกูลพงษ์</t>
  </si>
  <si>
    <t>Mr.  Worawit  Aueanukunphong</t>
  </si>
  <si>
    <t xml:space="preserve"> Site HR Operations Section Manager</t>
  </si>
  <si>
    <t xml:space="preserve"> ผู้จัดการแผนกทรัพยากรบุคคล ประจำพื้นที่ปฏิบัติการ</t>
  </si>
  <si>
    <t>084-5557283</t>
  </si>
  <si>
    <t>23630253</t>
  </si>
  <si>
    <t>ชะมัยพร</t>
  </si>
  <si>
    <t>บุญปัญญา</t>
  </si>
  <si>
    <t>Miss  Chamaiporn  Boonpanya</t>
  </si>
  <si>
    <t>23630331</t>
  </si>
  <si>
    <t>ณิชาวีร์</t>
  </si>
  <si>
    <t>คำวิรัช</t>
  </si>
  <si>
    <t>Miss  Nichavee  Khumwirach</t>
  </si>
  <si>
    <t>23630382</t>
  </si>
  <si>
    <t>ศิรินภา</t>
  </si>
  <si>
    <t>แก้วปราณีต</t>
  </si>
  <si>
    <t>Miss  Sirinapa  Kaewpraneet</t>
  </si>
  <si>
    <t>23630430</t>
  </si>
  <si>
    <t>จิรัชยา</t>
  </si>
  <si>
    <t>ดอนกิจภัย</t>
  </si>
  <si>
    <t>Miss  Jiratchaya  Donkijphai</t>
  </si>
  <si>
    <t>23630502</t>
  </si>
  <si>
    <t>ภคนิจ</t>
  </si>
  <si>
    <t>จรุงธนะกิจ</t>
  </si>
  <si>
    <t>Miss  Pakhanij  Charungthanakij</t>
  </si>
  <si>
    <t>SCM</t>
  </si>
  <si>
    <t>ส่วนบริหารสัญญาและประสิทธิภาพบริษัทฯ</t>
  </si>
  <si>
    <t>ฝ่ายบริหารบริษัทในเครือและโครงการลงทุน</t>
  </si>
  <si>
    <t>สายงานรองกผญ.กลยุทธ์องค์กรและบริหารฯ</t>
  </si>
  <si>
    <t>23570034</t>
  </si>
  <si>
    <t>จิรภัทร์</t>
  </si>
  <si>
    <t>บุญมี</t>
  </si>
  <si>
    <t>Miss  Jirapat  Boonmee</t>
  </si>
  <si>
    <t xml:space="preserve"> Senior Analyst</t>
  </si>
  <si>
    <t xml:space="preserve"> พนักงานวิเคราะห์และวางแผนอาวุโส</t>
  </si>
  <si>
    <t>0865592908</t>
  </si>
  <si>
    <t>23610013</t>
  </si>
  <si>
    <t>เบญจมาศ</t>
  </si>
  <si>
    <t>บุญพยุง</t>
  </si>
  <si>
    <t>Miss  Benjamas  Boonpayoong</t>
  </si>
  <si>
    <t>23610039</t>
  </si>
  <si>
    <t>ทองประเสริฐ</t>
  </si>
  <si>
    <t>Mr.  Kunakorn  Thongpraseart</t>
  </si>
  <si>
    <t>23630468</t>
  </si>
  <si>
    <t>จันทร์เด่นดวง</t>
  </si>
  <si>
    <t>Mrs.  Kanjana  Chandenduang</t>
  </si>
  <si>
    <t xml:space="preserve"> Contract and Performance Management Division Manager</t>
  </si>
  <si>
    <t xml:space="preserve"> ผู้จัดการส่วนบริหารสัญญาและประสิทธิภาพบริษัทในเครือ</t>
  </si>
  <si>
    <t>23630499</t>
  </si>
  <si>
    <t>กษิดิ์เดช</t>
  </si>
  <si>
    <t>เศรษฐาภรณ์</t>
  </si>
  <si>
    <t>Mr.  Kasidech  Srestthaporn</t>
  </si>
  <si>
    <t>23560230</t>
  </si>
  <si>
    <t>มนัสชัย</t>
  </si>
  <si>
    <t>คงรักษ์กวิน</t>
  </si>
  <si>
    <t>Mr.  Manatchai  Kongrakkawin</t>
  </si>
  <si>
    <t xml:space="preserve"> VP acting Senior Vice President Corporate Strategy and Risk Management</t>
  </si>
  <si>
    <t xml:space="preserve"> ผจ.ฝ่าย รักษาการผู้จัดการฝ่ายอาวุโส กลยุทธ์องค์กรและบริหารความเสี่ยง</t>
  </si>
  <si>
    <t>SCS</t>
  </si>
  <si>
    <t>098-889-1513</t>
  </si>
  <si>
    <t>23600017</t>
  </si>
  <si>
    <t>กุลพัฒน์</t>
  </si>
  <si>
    <t>เพิ่มภูศรี</t>
  </si>
  <si>
    <t>Mr.  Kulapat  Permbhusri</t>
  </si>
  <si>
    <t xml:space="preserve"> Senior Vice President Subsidiary and Investment Management</t>
  </si>
  <si>
    <t xml:space="preserve"> ผู้จัดการฝ่ายอาวุโสบริหารบริษัทในเครือและโครงการลงทุน</t>
  </si>
  <si>
    <t>SIS</t>
  </si>
  <si>
    <t>0657312672</t>
  </si>
  <si>
    <t>23560039</t>
  </si>
  <si>
    <t>วีระวงศ์</t>
  </si>
  <si>
    <t>จงเกษมวงศ์</t>
  </si>
  <si>
    <t>Mr.  Viravong  Chongkasemwong</t>
  </si>
  <si>
    <t xml:space="preserve"> Sustainability and Climate Change Policy  Division Manager</t>
  </si>
  <si>
    <t xml:space="preserve"> ผู้จัดการส่วนนโยบายความยั่งยืน และการเปลี่ยนแปลงสภาพภูมิอากาศ</t>
  </si>
  <si>
    <t>SMM</t>
  </si>
  <si>
    <t>ส่วนนโยบายความยั่งยืนและการเปลี่ยนแปลงฯ</t>
  </si>
  <si>
    <t>ฝ่ายบริหารการเปลี่ยนแปลงและความยั่งยืนฯ</t>
  </si>
  <si>
    <t>23560063</t>
  </si>
  <si>
    <t>ฐาปนีย์</t>
  </si>
  <si>
    <t>โกมลวาทิน</t>
  </si>
  <si>
    <t>Miss  Thapanee  Komolvatin</t>
  </si>
  <si>
    <t>23590027</t>
  </si>
  <si>
    <t>สวิตา</t>
  </si>
  <si>
    <t>นาควิเชียร</t>
  </si>
  <si>
    <t>Miss  Savita  Narkvichien</t>
  </si>
  <si>
    <t>0844511751</t>
  </si>
  <si>
    <t>23630490</t>
  </si>
  <si>
    <t>จุฑาศิริ</t>
  </si>
  <si>
    <t>ฉายสำเภา</t>
  </si>
  <si>
    <t>Ms.  Juthasiri  Chaisamphao</t>
  </si>
  <si>
    <t>23560056</t>
  </si>
  <si>
    <t>คำตั๋นมูล</t>
  </si>
  <si>
    <t>Mr.  Preecha  Komtanmool</t>
  </si>
  <si>
    <t xml:space="preserve"> Corporate Operational Excellence Management  Division Manager</t>
  </si>
  <si>
    <t xml:space="preserve"> ผู้จัดการส่วนบริหารความเป็นเลิศองค์กร</t>
  </si>
  <si>
    <t>SOM</t>
  </si>
  <si>
    <t>ส่วนบริหารความเป็นเลิศองค์กร</t>
  </si>
  <si>
    <t>-0818252156</t>
  </si>
  <si>
    <t>23560121</t>
  </si>
  <si>
    <t>จินตนา</t>
  </si>
  <si>
    <t>สิทธิแก้ว</t>
  </si>
  <si>
    <t>Miss  Jintana  Sitthikaew</t>
  </si>
  <si>
    <t>-</t>
  </si>
  <si>
    <t>23560176</t>
  </si>
  <si>
    <t>ทรงพล</t>
  </si>
  <si>
    <t>นิลโนรี</t>
  </si>
  <si>
    <t>Mr.  Songphol  Ninnoree</t>
  </si>
  <si>
    <t>23580003</t>
  </si>
  <si>
    <t>ณัฐฐา</t>
  </si>
  <si>
    <t>อำไพ</t>
  </si>
  <si>
    <t>Miss  Nutta  Ampai</t>
  </si>
  <si>
    <t>SPM</t>
  </si>
  <si>
    <t>ส่วนบริหารการลงทุนและบริษัทในเครือ</t>
  </si>
  <si>
    <t>-0924514428</t>
  </si>
  <si>
    <t>23590003</t>
  </si>
  <si>
    <t>ธารีรัตน์</t>
  </si>
  <si>
    <t>อมาตยกุล</t>
  </si>
  <si>
    <t>Miss  Thareerat  Amatayakul</t>
  </si>
  <si>
    <t xml:space="preserve"> Portfolio and Subsidiary Management Division Manager</t>
  </si>
  <si>
    <t xml:space="preserve"> ผู้จัดการส่วนบริหารการลงทุนและบริษัทในเครือ</t>
  </si>
  <si>
    <t>23590007</t>
  </si>
  <si>
    <t>ศิรัส</t>
  </si>
  <si>
    <t>Mr.  Siras  Barlee</t>
  </si>
  <si>
    <t>0624719989</t>
  </si>
  <si>
    <t>23600041</t>
  </si>
  <si>
    <t>รัฏฏิการ์</t>
  </si>
  <si>
    <t>มนัสวีวงษ์</t>
  </si>
  <si>
    <t>Miss  Ratigar  Manasveewong</t>
  </si>
  <si>
    <t>0816295488</t>
  </si>
  <si>
    <t>23560171</t>
  </si>
  <si>
    <t>ชัยเบญจกุล</t>
  </si>
  <si>
    <t>Mr.  Thanawuth  Chaibenjakul</t>
  </si>
  <si>
    <t xml:space="preserve"> Corporate Quality Management System Division Manager</t>
  </si>
  <si>
    <t xml:space="preserve"> ผู้จัดการส่วนบริหารระบบคุณภาพองค์กร</t>
  </si>
  <si>
    <t>SQM</t>
  </si>
  <si>
    <t>ส่วนบริหารระบบคุณภาพองค์กร</t>
  </si>
  <si>
    <t>23600020</t>
  </si>
  <si>
    <t>สุภารดี</t>
  </si>
  <si>
    <t>ศักดิ์เอี่ยม</t>
  </si>
  <si>
    <t>Miss  Suparadee  Sakaim</t>
  </si>
  <si>
    <t xml:space="preserve"> Corporate Quality Management Officer</t>
  </si>
  <si>
    <t xml:space="preserve"> พนักงานบริหารระบบคุณภาพองค์กร</t>
  </si>
  <si>
    <t>23600038</t>
  </si>
  <si>
    <t>ประทุมวัง</t>
  </si>
  <si>
    <t>Mr.  Panya  Prathumwang</t>
  </si>
  <si>
    <t xml:space="preserve"> Quality,Security,Safety,Occupational Health&amp;Environment Mgt Officer</t>
  </si>
  <si>
    <t xml:space="preserve"> พนักงานบริหารคุณภาพ ความมั่นคงปลอดภัย อาชีวอนามัย และสิ่งแวดล้อม</t>
  </si>
  <si>
    <t>23620054</t>
  </si>
  <si>
    <t>สวัสดิ์ไธสง</t>
  </si>
  <si>
    <t>Mr.  Kraison  Sawatthaisong</t>
  </si>
  <si>
    <t>23640002</t>
  </si>
  <si>
    <t>ฑิฆัมพร</t>
  </si>
  <si>
    <t>พัวอมรพงศ์</t>
  </si>
  <si>
    <t>Miss  Thikhamphon  Puaamornpong</t>
  </si>
  <si>
    <t xml:space="preserve"> Risk Management Officer</t>
  </si>
  <si>
    <t xml:space="preserve"> พนักงานบริหารความเสี่ยง</t>
  </si>
  <si>
    <t>SRM</t>
  </si>
  <si>
    <t>ส่วนบริหารความเสี่ยง</t>
  </si>
  <si>
    <t>ฝ่ายกลยุทธ์องค์กรและบริหารความเสี่ยง</t>
  </si>
  <si>
    <t>23570032</t>
  </si>
  <si>
    <t>กิติพงศ์</t>
  </si>
  <si>
    <t>ศุภกรรัตน์</t>
  </si>
  <si>
    <t>Mr.  Kitiphong  Suphakornrat</t>
  </si>
  <si>
    <t xml:space="preserve"> Risk Management Division Manager</t>
  </si>
  <si>
    <t xml:space="preserve"> ผู้จัดการส่วนบริหารความเสี่ยงองค์กร</t>
  </si>
  <si>
    <t>23580032</t>
  </si>
  <si>
    <t>พิรุฬห์กานต์</t>
  </si>
  <si>
    <t>สัจจโสภณ</t>
  </si>
  <si>
    <t>Miss  Phirunkarn  Sajjasophon</t>
  </si>
  <si>
    <t>23570007</t>
  </si>
  <si>
    <t>เบญจวรรณ</t>
  </si>
  <si>
    <t>ผลิกะพันธ์</t>
  </si>
  <si>
    <t>Miss  Benjawan  Plikaphan</t>
  </si>
  <si>
    <t>SSE</t>
  </si>
  <si>
    <t>0853797382</t>
  </si>
  <si>
    <t>23610036</t>
  </si>
  <si>
    <t>ศิริเมธ</t>
  </si>
  <si>
    <t>ลี้ภากรณ์</t>
  </si>
  <si>
    <t>Mr.  Sirimet  Leepagorn</t>
  </si>
  <si>
    <t xml:space="preserve"> Executive Vice President Corporate Strategy and Subsidiary Management</t>
  </si>
  <si>
    <t xml:space="preserve"> รองกรรมการผู้จัดการใหญ่กลยุทธ์องค์กรและบริหารบริษัทในเครือ</t>
  </si>
  <si>
    <t>23600003</t>
  </si>
  <si>
    <t>ณฐณิชา</t>
  </si>
  <si>
    <t>ศรีฉัตราภิมุข</t>
  </si>
  <si>
    <t>Miss  Natanicha  Srichatrapimuk</t>
  </si>
  <si>
    <t>SSE1</t>
  </si>
  <si>
    <t>บริษัท สยาม โซล่าร์ เอ็นเนอร์ยี่ 1 จำกัด</t>
  </si>
  <si>
    <t>GPSC BKK : SSE1</t>
  </si>
  <si>
    <t>23560187</t>
  </si>
  <si>
    <t>กุกเรยา</t>
  </si>
  <si>
    <t>Mr.  Narakorn  Kukreja</t>
  </si>
  <si>
    <t>SSM</t>
  </si>
  <si>
    <t>ส่วนกลยุทธ์และแผนงานองค์กร</t>
  </si>
  <si>
    <t>0870764164</t>
  </si>
  <si>
    <t>23580029</t>
  </si>
  <si>
    <t>กรวิญญ์</t>
  </si>
  <si>
    <t>กริ่มทุ่งทอง</t>
  </si>
  <si>
    <t>Mr.  Korawin  Krimtungtong</t>
  </si>
  <si>
    <t>0812509416</t>
  </si>
  <si>
    <t>23580038</t>
  </si>
  <si>
    <t>ปกรณ์</t>
  </si>
  <si>
    <t>พลเสนา</t>
  </si>
  <si>
    <t>Mr.  Pakorn  Polsena</t>
  </si>
  <si>
    <t>23590012</t>
  </si>
  <si>
    <t>ณิชกมล</t>
  </si>
  <si>
    <t>พรกีรติวัฒน์</t>
  </si>
  <si>
    <t>Miss  Nichakamon  Pornkeratiwat</t>
  </si>
  <si>
    <t>23630010</t>
  </si>
  <si>
    <t>อารีรัตน์</t>
  </si>
  <si>
    <t>Miss  Arreerat  Aroonnual</t>
  </si>
  <si>
    <t xml:space="preserve"> Strategic Planning Division Manager</t>
  </si>
  <si>
    <t xml:space="preserve"> ผู้จัดการส่วนกลยุทธ์และแผนงานองค์กร</t>
  </si>
  <si>
    <t>23560175</t>
  </si>
  <si>
    <t>พจมาลย์</t>
  </si>
  <si>
    <t>Miss  Pochamal  Kusontramas</t>
  </si>
  <si>
    <t>STM</t>
  </si>
  <si>
    <t>ส่วนบริหารการเปลี่ยนแปลง</t>
  </si>
  <si>
    <t>23590029</t>
  </si>
  <si>
    <t>ธีรภัทร์</t>
  </si>
  <si>
    <t>อัจฉริยชีวิน</t>
  </si>
  <si>
    <t>Mr.  Theerapat  Achariyacheevin</t>
  </si>
  <si>
    <t>062-1954147</t>
  </si>
  <si>
    <t>23630140</t>
  </si>
  <si>
    <t>นาวิน</t>
  </si>
  <si>
    <t>พานิช</t>
  </si>
  <si>
    <t>Mr.  Navin  Panit</t>
  </si>
  <si>
    <t xml:space="preserve"> M&amp;A Transformation Division Manager</t>
  </si>
  <si>
    <t xml:space="preserve"> ผู้จัดการส่วนบริหารการเปลี่ยนแปลง</t>
  </si>
  <si>
    <t>089-2059272</t>
  </si>
  <si>
    <t>23630364</t>
  </si>
  <si>
    <t>นันทนาวิจิตร</t>
  </si>
  <si>
    <t>Mr.  Sittichai  Nantanawijit</t>
  </si>
  <si>
    <t>STS</t>
  </si>
  <si>
    <t>085-4894808</t>
  </si>
  <si>
    <t>23570031</t>
  </si>
  <si>
    <t>จารุวัฒน์</t>
  </si>
  <si>
    <t>สิงห์สมดี</t>
  </si>
  <si>
    <t>Mr.  Jaruwat  Singsomdee</t>
  </si>
  <si>
    <t xml:space="preserve"> Senior Vice President Transformation and Sustainability Management</t>
  </si>
  <si>
    <t xml:space="preserve"> ผู้จัดการฝ่ายอาวุโสบริหารการเปลี่ยนแปลงและความยั่งยืนองค์กร</t>
  </si>
  <si>
    <t>0854839156</t>
  </si>
  <si>
    <t>23590018</t>
  </si>
  <si>
    <t>ฐิตาพร</t>
  </si>
  <si>
    <t>แสงนาค</t>
  </si>
  <si>
    <t>Miss  Titapone  Saengnak</t>
  </si>
  <si>
    <t>0922686436</t>
  </si>
  <si>
    <t>23630106</t>
  </si>
  <si>
    <t>อุไรรัตน์</t>
  </si>
  <si>
    <t>วงศ์พันธ์</t>
  </si>
  <si>
    <t>Mrs.  Urairat  Wongphan</t>
  </si>
  <si>
    <t xml:space="preserve"> Information Technology Officer</t>
  </si>
  <si>
    <t xml:space="preserve"> พนักงานเทคโนโลยีสารสนเทศ</t>
  </si>
  <si>
    <t>STV</t>
  </si>
  <si>
    <t>หน่วยเทคโนโลยีสารสนเทศ</t>
  </si>
  <si>
    <t>23630113</t>
  </si>
  <si>
    <t>บุษรินทร์</t>
  </si>
  <si>
    <t>ช้างพงษ์</t>
  </si>
  <si>
    <t>Miss  Bussarin  Changpong</t>
  </si>
  <si>
    <t>23630123</t>
  </si>
  <si>
    <t>ม่วงแก้ว</t>
  </si>
  <si>
    <t>Mr.  Pongthep  Muangkaew</t>
  </si>
  <si>
    <t xml:space="preserve"> Division Manager, Vice President Information Technology</t>
  </si>
  <si>
    <t xml:space="preserve"> ผู้จัดการส่วน ปฏิบัติงาน ผู้จัดการฝ่ายเทคโนโลยีสารสนเทศ</t>
  </si>
  <si>
    <t>081-1715473</t>
  </si>
  <si>
    <t>23630180</t>
  </si>
  <si>
    <t>โสฬส</t>
  </si>
  <si>
    <t>โสตถิถาวร</t>
  </si>
  <si>
    <t>Mr.  Soros  Sottitavorn</t>
  </si>
  <si>
    <t xml:space="preserve"> Infrastructure Operation Section Manager</t>
  </si>
  <si>
    <t xml:space="preserve"> ผู้จัดการแผนกโครงสร้างพื้นฐาน</t>
  </si>
  <si>
    <t>085-6608905</t>
  </si>
  <si>
    <t>23630189</t>
  </si>
  <si>
    <t>บุษฎี</t>
  </si>
  <si>
    <t>เจริญยิ่งวัฒนา</t>
  </si>
  <si>
    <t>Miss  Budsadee  Charoenyingwattana</t>
  </si>
  <si>
    <t>23630190</t>
  </si>
  <si>
    <t>ณรุจทัต</t>
  </si>
  <si>
    <t>ฐิศิราพร</t>
  </si>
  <si>
    <t>Mr.  Narujthat  Tisiraporn</t>
  </si>
  <si>
    <t>085-4894803</t>
  </si>
  <si>
    <t>23630269</t>
  </si>
  <si>
    <t>พัชรินทร์</t>
  </si>
  <si>
    <t>ทองอารีย์</t>
  </si>
  <si>
    <t>Miss  Patcharin  Tongaree</t>
  </si>
  <si>
    <t>23630345</t>
  </si>
  <si>
    <t>รักษิณา</t>
  </si>
  <si>
    <t>ศรีเรืองชีพ</t>
  </si>
  <si>
    <t>Miss  Raksina  Srireangcheep</t>
  </si>
  <si>
    <t>23560053</t>
  </si>
  <si>
    <t>สืบสกุล</t>
  </si>
  <si>
    <t>Mr.  Suebsakul  Mokkhavesa</t>
  </si>
  <si>
    <t xml:space="preserve"> IT Governance and Strategy Section Manager</t>
  </si>
  <si>
    <t xml:space="preserve"> ผู้จัดการแผนกกลยุทธ์และการจัดการด้านเทคโนโลยีสารสนเทศ</t>
  </si>
  <si>
    <t>0992466963</t>
  </si>
  <si>
    <t>23620056</t>
  </si>
  <si>
    <t>หาญมณี</t>
  </si>
  <si>
    <t>Mr.  Natchapon  Hanmanee</t>
  </si>
  <si>
    <t>23630041</t>
  </si>
  <si>
    <t>อรวรรณ</t>
  </si>
  <si>
    <t>พิบูลภานุวัธน์</t>
  </si>
  <si>
    <t>Miss  Orawan  Piboonpanuwat</t>
  </si>
  <si>
    <t xml:space="preserve"> IT Service Desk Section Manager</t>
  </si>
  <si>
    <t xml:space="preserve"> ผู้จัดการแผนกบริการระบบเทคโนโลยีสารสนเทศ</t>
  </si>
  <si>
    <t>063-2195917</t>
  </si>
  <si>
    <t>23630102</t>
  </si>
  <si>
    <t>กฤติน</t>
  </si>
  <si>
    <t>ทองเลิศ</t>
  </si>
  <si>
    <t>Mr.  Krittin  Thonglert</t>
  </si>
  <si>
    <t>081-1715475</t>
  </si>
  <si>
    <t>23630186</t>
  </si>
  <si>
    <t>อิทธิ</t>
  </si>
  <si>
    <t>เจสกุล</t>
  </si>
  <si>
    <t>Mr.  Itti  Jesakul</t>
  </si>
  <si>
    <t xml:space="preserve"> Business Application Division Manager</t>
  </si>
  <si>
    <t xml:space="preserve"> ผู้จัดการส่วนซอฟต์แวร์สนับสนุนธุรกรรมทางธุรกิจ</t>
  </si>
  <si>
    <t>061-3846699</t>
  </si>
  <si>
    <t>23630333</t>
  </si>
  <si>
    <t>ผิวขาว</t>
  </si>
  <si>
    <t>Mr.  Pipat  Piwkaw</t>
  </si>
  <si>
    <t>081-1715474</t>
  </si>
  <si>
    <t>23630356</t>
  </si>
  <si>
    <t>วันขึ้น</t>
  </si>
  <si>
    <t>หอรุ่งเรืองชัย</t>
  </si>
  <si>
    <t>Mr.  Wankhun  Horrungruangchai</t>
  </si>
  <si>
    <t>084-7009240</t>
  </si>
  <si>
    <t>23630391</t>
  </si>
  <si>
    <t>อาร์ม</t>
  </si>
  <si>
    <t>ภักดีวงษ์</t>
  </si>
  <si>
    <t>Mr.  Arm  Phakdeewong</t>
  </si>
  <si>
    <t>0894047664</t>
  </si>
  <si>
    <t>23630402</t>
  </si>
  <si>
    <t>สุดารัตน์</t>
  </si>
  <si>
    <t>นาคนุช</t>
  </si>
  <si>
    <t>Miss  Sudarat  Naknut</t>
  </si>
  <si>
    <t>23630426</t>
  </si>
  <si>
    <t>ศรกล้า</t>
  </si>
  <si>
    <t>Mr.  Preecha  Sornkla</t>
  </si>
  <si>
    <t>23630028</t>
  </si>
  <si>
    <t>วราลักษณ์</t>
  </si>
  <si>
    <t>เจริญวงศ์</t>
  </si>
  <si>
    <t>Mrs.  Waralux  Charoenwong</t>
  </si>
  <si>
    <t xml:space="preserve"> Public Affairs Section Manager</t>
  </si>
  <si>
    <t xml:space="preserve"> ผู้จัดการแผนกรัฐกิจสัมพันธ์</t>
  </si>
  <si>
    <t>VGM</t>
  </si>
  <si>
    <t>ส่วนรัฐกิจสัมพันธ์</t>
  </si>
  <si>
    <t>ฝ่ายรัฐกิจสัมพันธ์และกิจการสาธารณะ</t>
  </si>
  <si>
    <t>081-9248635</t>
  </si>
  <si>
    <t>23630390</t>
  </si>
  <si>
    <t>ภิรญา</t>
  </si>
  <si>
    <t>ปิติภัทรจินดา</t>
  </si>
  <si>
    <t>Miss  Piraya  Pitipattarajinda</t>
  </si>
  <si>
    <t xml:space="preserve"> Public Affairs Officer</t>
  </si>
  <si>
    <t xml:space="preserve"> พนักงานรัฐกิจสัมพันธ์</t>
  </si>
  <si>
    <t>084-5557280</t>
  </si>
  <si>
    <t>23630446</t>
  </si>
  <si>
    <t>มณีกาญจน์</t>
  </si>
  <si>
    <t>ชินะกุล</t>
  </si>
  <si>
    <t>Miss  Maneekarn  Chinakul</t>
  </si>
  <si>
    <t>081-8426726</t>
  </si>
  <si>
    <t>23560016</t>
  </si>
  <si>
    <t>มนสิทธิ์</t>
  </si>
  <si>
    <t>ขาวประเสริฐ</t>
  </si>
  <si>
    <t>Mr.  Monnasit  Khawprasert</t>
  </si>
  <si>
    <t xml:space="preserve"> Government Relations Division Manager</t>
  </si>
  <si>
    <t xml:space="preserve"> ผู้จัดการส่วนรัฐกิจสัมพันธ์</t>
  </si>
  <si>
    <t>23600012</t>
  </si>
  <si>
    <t>ยุทธกิจ</t>
  </si>
  <si>
    <t>สิริมหาไชยกุล</t>
  </si>
  <si>
    <t>Mr.  Yutthakit  Sirimahachaiyakul</t>
  </si>
  <si>
    <t>23630388</t>
  </si>
  <si>
    <t>สุขแจ่ม</t>
  </si>
  <si>
    <t>Miss  Nongluk  Sukjam</t>
  </si>
  <si>
    <t>081-8088791</t>
  </si>
  <si>
    <t>23630069</t>
  </si>
  <si>
    <t>ชลลดา</t>
  </si>
  <si>
    <t>มณี</t>
  </si>
  <si>
    <t>Miss  Chollada  Manee</t>
  </si>
  <si>
    <t xml:space="preserve"> Internal Communication Section Manager</t>
  </si>
  <si>
    <t xml:space="preserve"> ผู้จัดการแผนกสื่อสารภายในองค์กร</t>
  </si>
  <si>
    <t>VIT</t>
  </si>
  <si>
    <t>แผนกสื่อสารภายในองค์กร</t>
  </si>
  <si>
    <t>089-2057040</t>
  </si>
  <si>
    <t>23630205</t>
  </si>
  <si>
    <t>ชุติมา</t>
  </si>
  <si>
    <t>จิตตรีศิลป์</t>
  </si>
  <si>
    <t>Miss  Chutima  Jittresin</t>
  </si>
  <si>
    <t xml:space="preserve"> Internal Communication Officer</t>
  </si>
  <si>
    <t xml:space="preserve"> พนักงานสื่อสารภายในองค์กร</t>
  </si>
  <si>
    <t>23630285</t>
  </si>
  <si>
    <t>สุทธิมาส</t>
  </si>
  <si>
    <t>สุทธิมัย</t>
  </si>
  <si>
    <t>Miss  Sutthimas  Sutthimai</t>
  </si>
  <si>
    <t>23600013</t>
  </si>
  <si>
    <t>ธนรัชต์</t>
  </si>
  <si>
    <t>น้อยกร</t>
  </si>
  <si>
    <t>Mr.  Thanarat  Noikorn</t>
  </si>
  <si>
    <t>061-978-0585</t>
  </si>
  <si>
    <t>23630117</t>
  </si>
  <si>
    <t>ณัฐพร</t>
  </si>
  <si>
    <t>กิตติพินิจนันท</t>
  </si>
  <si>
    <t>Miss  Nuttaporn  Kittipinijnanta</t>
  </si>
  <si>
    <t xml:space="preserve"> Corporate Communication Officer</t>
  </si>
  <si>
    <t xml:space="preserve"> พนักงานสื่อสารองค์กร</t>
  </si>
  <si>
    <t>VPM</t>
  </si>
  <si>
    <t>ส่วนสื่อสารองค์กร</t>
  </si>
  <si>
    <t>23580004</t>
  </si>
  <si>
    <t>รัตนจันทรานนท์</t>
  </si>
  <si>
    <t>Miss  Juthamas  Ratanachantranon</t>
  </si>
  <si>
    <t xml:space="preserve"> Public Relations Division Manager</t>
  </si>
  <si>
    <t xml:space="preserve"> ผู้จัดการส่วนสื่อสารองค์กร</t>
  </si>
  <si>
    <t>0856608590</t>
  </si>
  <si>
    <t>23600048</t>
  </si>
  <si>
    <t>ดนยา</t>
  </si>
  <si>
    <t>กิจกังวาล</t>
  </si>
  <si>
    <t>Miss  Donya  Kitkungvan</t>
  </si>
  <si>
    <t xml:space="preserve"> Senior Corporate Communication Officer</t>
  </si>
  <si>
    <t xml:space="preserve"> พนักงานสื่อสารองค์กรอาวุโส</t>
  </si>
  <si>
    <t>23560034</t>
  </si>
  <si>
    <t>ปกครอง</t>
  </si>
  <si>
    <t>ชาญโลหะ</t>
  </si>
  <si>
    <t>Mr.  Pokkrong  Chanloha</t>
  </si>
  <si>
    <t xml:space="preserve"> ผู้จัดการส่วน ประจำผู้จัดการฝ่ายอาวุโสรัฐกิจสัมพันธ์และกิจการสาธารณะ</t>
  </si>
  <si>
    <t>VRS</t>
  </si>
  <si>
    <t>081-9447334</t>
  </si>
  <si>
    <t>23580041</t>
  </si>
  <si>
    <t>ธีร์</t>
  </si>
  <si>
    <t>วิกิตเศรษฐ</t>
  </si>
  <si>
    <t>Mr.  Tee  Vikitsreth</t>
  </si>
  <si>
    <t>23630020</t>
  </si>
  <si>
    <t>วิสูตรชัย</t>
  </si>
  <si>
    <t>Mr.  Narongchai  Visutrachai</t>
  </si>
  <si>
    <t xml:space="preserve"> Senior Vice President Government Relations &amp; Public Affairs</t>
  </si>
  <si>
    <t xml:space="preserve"> ผู้จัดการฝ่ายอาวุโสรัฐกิจสัมพันธ์และกิจการสาธารณะ</t>
  </si>
  <si>
    <t>081-8085577</t>
  </si>
  <si>
    <t>23630406</t>
  </si>
  <si>
    <t>Miss  Napat  Phermpool</t>
  </si>
  <si>
    <t>23630022</t>
  </si>
  <si>
    <t>สมชัย</t>
  </si>
  <si>
    <t>กลิ่นสุวรรณมาลี</t>
  </si>
  <si>
    <t>Mr.  Somchai  Klinsuwanmalee</t>
  </si>
  <si>
    <t xml:space="preserve"> Corporate Social Responsibility Division Manager</t>
  </si>
  <si>
    <t xml:space="preserve"> ผู้จัดการส่วนกิจการเพื่อสังคม</t>
  </si>
  <si>
    <t>VSM</t>
  </si>
  <si>
    <t>ส่วนกิจการเพื่อสังคม</t>
  </si>
  <si>
    <t>081-8137226</t>
  </si>
  <si>
    <t>23630434</t>
  </si>
  <si>
    <t>ปาริชาติ</t>
  </si>
  <si>
    <t>แสงอัมพร</t>
  </si>
  <si>
    <t>Miss  Parichat  Saengamporn</t>
  </si>
  <si>
    <t xml:space="preserve"> Corporate Social Responsibility Section Manager</t>
  </si>
  <si>
    <t xml:space="preserve"> ผู้จัดการแผนกกิจการเพื่อสังคม</t>
  </si>
  <si>
    <t>089-2059261</t>
  </si>
  <si>
    <t>23630443</t>
  </si>
  <si>
    <t>ณัฐพล</t>
  </si>
  <si>
    <t>จันทร์แก้ว</t>
  </si>
  <si>
    <t>Mr.  Nattapon  Chankaew</t>
  </si>
  <si>
    <t xml:space="preserve"> Corporate Social Responsibility Officer</t>
  </si>
  <si>
    <t xml:space="preserve"> พนักงานกิจการเพื่อสังคม</t>
  </si>
  <si>
    <t>23590030</t>
  </si>
  <si>
    <t>ปณิตา</t>
  </si>
  <si>
    <t>รัตนศิริโชค</t>
  </si>
  <si>
    <t>Miss  Panita  Rattanasirichoke</t>
  </si>
  <si>
    <t>0645616982</t>
  </si>
  <si>
    <t>23560208</t>
  </si>
  <si>
    <t>วรเศรษฐ์</t>
  </si>
  <si>
    <t>เมธีปรีชานนท์</t>
  </si>
  <si>
    <t>Mr.  Worrasate  Mateepreechanon</t>
  </si>
  <si>
    <t>064-24195-39</t>
  </si>
  <si>
    <t>23560214</t>
  </si>
  <si>
    <t>ฐกฤต</t>
  </si>
  <si>
    <t>ขอบอรัญ</t>
  </si>
  <si>
    <t>Mr.  Thakrit  Khob-arun</t>
  </si>
  <si>
    <t>23600034</t>
  </si>
  <si>
    <t>อาทิตย์พงษ์</t>
  </si>
  <si>
    <t>สุทธิรักษ์</t>
  </si>
  <si>
    <t>Mr.  Artidphong  Suttiruk</t>
  </si>
  <si>
    <t>0970030223</t>
  </si>
  <si>
    <t>23630209</t>
  </si>
  <si>
    <t>ประวัฒน์</t>
  </si>
  <si>
    <t>Mr.  Prawat  Suwanwijit</t>
  </si>
  <si>
    <t>23630294</t>
  </si>
  <si>
    <t>สุสุนทร</t>
  </si>
  <si>
    <t>Mr.  Wasan  Susoonthorn</t>
  </si>
  <si>
    <t xml:space="preserve"> Community Relations Section Manager</t>
  </si>
  <si>
    <t xml:space="preserve"> ผู้จัดการแผนกชุมชนสัมพันธ์</t>
  </si>
  <si>
    <t>081-8236309</t>
  </si>
  <si>
    <t>23630343</t>
  </si>
  <si>
    <t>วริยา</t>
  </si>
  <si>
    <t>ชิวขนาน</t>
  </si>
  <si>
    <t>Miss  Wariya  Chewkanan</t>
  </si>
  <si>
    <t xml:space="preserve"> Community Relations Officer</t>
  </si>
  <si>
    <t xml:space="preserve"> พนักงานชุมชนสัมพันธ์</t>
  </si>
  <si>
    <t>รายงานข้อมูลพนักงาน(06.01.2021)</t>
  </si>
  <si>
    <t>GPSC Risk Criteria</t>
  </si>
  <si>
    <t>(Version as of 7 Aug 2019)</t>
  </si>
  <si>
    <t xml:space="preserve">เกณฑ์การประเมินโอกาสเกิด (Likelihood) </t>
  </si>
  <si>
    <t>ระดับ</t>
  </si>
  <si>
    <t>ต่ำ
1</t>
  </si>
  <si>
    <t>ปานกลาง
2</t>
  </si>
  <si>
    <t>สูง
3</t>
  </si>
  <si>
    <t>รุนแรง
4</t>
  </si>
  <si>
    <t>โอกาสเกิด</t>
  </si>
  <si>
    <t>&lt; 10%</t>
  </si>
  <si>
    <r>
      <t>&gt;</t>
    </r>
    <r>
      <rPr>
        <sz val="12"/>
        <color theme="1"/>
        <rFont val="Tahoma"/>
        <family val="2"/>
      </rPr>
      <t>10% ถึง &lt; 20%</t>
    </r>
  </si>
  <si>
    <r>
      <t>&gt;</t>
    </r>
    <r>
      <rPr>
        <sz val="12"/>
        <color theme="1"/>
        <rFont val="Tahoma"/>
        <family val="2"/>
      </rPr>
      <t>20% ถึง &lt; 50%</t>
    </r>
  </si>
  <si>
    <r>
      <t>&gt;</t>
    </r>
    <r>
      <rPr>
        <sz val="12"/>
        <color theme="1"/>
        <rFont val="Tahoma"/>
        <family val="2"/>
      </rPr>
      <t xml:space="preserve"> 50%</t>
    </r>
  </si>
  <si>
    <t>ไม่เคย/เคยเกิดขึ้น 1 ครั้งใน 5 ปี</t>
  </si>
  <si>
    <t>เคยเกิดขึ้น 1 ครั้ง ใน 3 ปี</t>
  </si>
  <si>
    <t>เคยเกิดขึ้น 1 ครั้ง ใน 1 ปี</t>
  </si>
  <si>
    <t>เคยเกิดขึ้น &gt; 1 ครั้ง ใน 1 ปี</t>
  </si>
  <si>
    <t xml:space="preserve"> เกณฑ์การประเมินผลกระทบ 
(Impact)</t>
  </si>
  <si>
    <t>ด้านการเงิน 
(Financial)</t>
  </si>
  <si>
    <t>กำไรสุทธิต่ำกว่าเป้าหมาย (Net Profit)</t>
  </si>
  <si>
    <r>
      <t>&lt;</t>
    </r>
    <r>
      <rPr>
        <sz val="10"/>
        <color theme="1"/>
        <rFont val="Tahoma"/>
        <family val="2"/>
      </rPr>
      <t xml:space="preserve"> 1.25%</t>
    </r>
  </si>
  <si>
    <r>
      <t xml:space="preserve">&gt; 1.25% ถึง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2.5%</t>
    </r>
  </si>
  <si>
    <r>
      <t xml:space="preserve">&gt; 2.5% ถึง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5%</t>
    </r>
  </si>
  <si>
    <t xml:space="preserve">&gt; 5% </t>
  </si>
  <si>
    <t>กำไรขั้นต้นต่ำกว่าเป้าหมาย (EBITDA)</t>
  </si>
  <si>
    <t>รายได้ต่ำกว่าเป้าหมาย (Revenue)</t>
  </si>
  <si>
    <t>&gt; 5%</t>
  </si>
  <si>
    <t>ค่าใช้จ่ายสูงกว่าเป้าหมาย (Expense)</t>
  </si>
  <si>
    <t>ผลตอบแทนการลงทุนต่ำกว่าเป้าหมาย (Project Return: Equity IRR)</t>
  </si>
  <si>
    <r>
      <t xml:space="preserve"> &lt;</t>
    </r>
    <r>
      <rPr>
        <sz val="10"/>
        <color theme="1"/>
        <rFont val="Tahoma"/>
        <family val="2"/>
      </rPr>
      <t xml:space="preserve"> 5 % จาก base case</t>
    </r>
  </si>
  <si>
    <r>
      <t xml:space="preserve"> &gt; 5 % ถึง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10 % จาก base case</t>
    </r>
  </si>
  <si>
    <r>
      <t xml:space="preserve">&gt; 10% ถึง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15% จาก base case</t>
    </r>
  </si>
  <si>
    <t xml:space="preserve"> &gt;15 % จาก base case</t>
  </si>
  <si>
    <t>งบประมาณลงทุนสูงกว่าที่ได้รับอนุมัติ
(Project Cost Overrun)</t>
  </si>
  <si>
    <r>
      <t>&lt;</t>
    </r>
    <r>
      <rPr>
        <sz val="10"/>
        <color theme="1"/>
        <rFont val="Tahoma"/>
        <family val="2"/>
      </rPr>
      <t xml:space="preserve"> 1.25%จาก base case</t>
    </r>
  </si>
  <si>
    <r>
      <t xml:space="preserve">&gt; 1.25% ถึง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2.5% จาก base case</t>
    </r>
  </si>
  <si>
    <r>
      <t xml:space="preserve">&gt; 2.5% ถึง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5% จาก base case</t>
    </r>
  </si>
  <si>
    <t>&gt; 5% จาก base case</t>
  </si>
  <si>
    <t>ด้านกระบวนการธุรกิจ
และการปฏิบัติการ 
(Business Process and Operation )</t>
  </si>
  <si>
    <t>ประสิทธิผลของกระบวนการ</t>
  </si>
  <si>
    <t>มีผลกระทบต่อกระบวนการผลิต/กระบวนการดำเนินงานเล็กน้อยโดยอยู่ในระดับที่สามารถควบคุมและแก้ไขได้ด้วยตนเอง</t>
  </si>
  <si>
    <t xml:space="preserve">มีผลกระทบต่อกระบวนการผลิต/กระบวนการดำเนินงาน โดยอยู่ในระดับที่สามารถควบคุมและแก้ไขได้โดยหน่วยงานที่เกี่ยวข้อง
</t>
  </si>
  <si>
    <t>มีผลกระทบต่อกระบวนการผลิต/กระบวนการดำเนินงาน โดยจำเป็นต้องหยุด/ชะลอการดำเนินงานหลักบางส่วนลง</t>
  </si>
  <si>
    <t>มีผลกระทบต่อกระบวนการผลิต/กระบวนการดำเนินงานอย่างรุนแรง  โดยส่งผลกระทบต่อการส่งมอบผลิตภัณฑ์แก่ลูกค้า/การดำเนินงานและเป้าหมายตามแผนงาน</t>
  </si>
  <si>
    <t>ผลิตภัณฑ์หรือบริการ</t>
  </si>
  <si>
    <t>เกิดความล่าช้าในการส่งมอบผลิตภัณฑ์/บริการ</t>
  </si>
  <si>
    <t>เกิดความล่าช้าในการส่งมอบผลิตภัณฑ์/บริการ และไม่ได้คุณภาพตรงตามข้อกำหนด</t>
  </si>
  <si>
    <t>ไม่สามารถผลิต/ส่งมอบผลิตภัณฑ์หรือบริการได้</t>
  </si>
  <si>
    <t>ไม่สามารถผลิต/ส่งมอบผลิตภัณฑ์หรือบริการและบริษัทมีค่าใช้จ่ายส่วนเพิ่มหรือถูกเรียกร้องค่าเสียหาย</t>
  </si>
  <si>
    <t>การปฏิบัติตามกฎหมาย / กฎระเบียบ / ข้อบังคับ</t>
  </si>
  <si>
    <t>ขัดต่อกฎระเบียบ/ข้อบังคับ/ข้อกำหนดตามมาตรฐานต่างๆ ของบริษัท</t>
  </si>
  <si>
    <t>ขัดต่อกฎหมาย กฏระเบียบของหน่วยงานภายนอกที่กำกับดูแล ซึ่งกระทบต่อการดำเนินงานของบริษัท แต่สามารถดำเนินการแก้ไขได้ในทันที</t>
  </si>
  <si>
    <t>ขัดต่อกฎหมาย/ข้อบังคับ กฏระเบียบของหน่วยงานภายนอกที่กำกับดูแล โดยได้รับบทลงโทษตามกฎหมาย หรือต้องแก้ไขตามคำสั่งของหน่วยงานภายนอกที่กำกับดูแล</t>
  </si>
  <si>
    <t>ขัดต่อกฎหมาย กฏระเบียบของหน่วยงานภายนอกที่กำกับดูแล โดยถูกเพิกถอนใบอนุญาต หรือถูกปิดกิจการ</t>
  </si>
  <si>
    <t>ระยะเวลาการดำเนินโครงการล่าช้า (ตั้งแต่ BOD Approval ถึง COD)</t>
  </si>
  <si>
    <r>
      <t xml:space="preserve">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3% จากแผนงาน 
หรือ &lt; 1 เดือน</t>
    </r>
  </si>
  <si>
    <r>
      <t xml:space="preserve"> 3% &lt; X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5% จากแผนงาน 
หรือ &lt; 2 เดือน</t>
    </r>
  </si>
  <si>
    <r>
      <t xml:space="preserve">5% &lt; X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10% จากแผนงาน 
หรือ &lt; 3 เดือน</t>
    </r>
  </si>
  <si>
    <r>
      <t xml:space="preserve">ล่าช้าจากแผนงาน &gt; 10% หรือ </t>
    </r>
    <r>
      <rPr>
        <u/>
        <sz val="10"/>
        <color theme="1"/>
        <rFont val="Tahoma"/>
        <family val="2"/>
      </rPr>
      <t>&gt;</t>
    </r>
    <r>
      <rPr>
        <sz val="10"/>
        <color theme="1"/>
        <rFont val="Tahoma"/>
        <family val="2"/>
      </rPr>
      <t xml:space="preserve"> 3 เดือน</t>
    </r>
  </si>
  <si>
    <t xml:space="preserve">การกำกับดูแลบริษัทในเครือ </t>
  </si>
  <si>
    <t>การดำเนินงานเป็นไปตามนโยบาย/แนวทางของ GPSC และสามารถควบคุมได้</t>
  </si>
  <si>
    <t>การดำเนินงานเป็นไปตามนโยบาย/แนวทางของ GPSC โดยไม่สามารถควบคุมได้</t>
  </si>
  <si>
    <t xml:space="preserve">ไม่ดำเนินงานตามนโยบาย/แนวทางของ GPSC </t>
  </si>
  <si>
    <t>ไม่ดำเนินงานตามนโยบาย/แนวทางของ GPSC และส่งผลเสียหายต่อ GPSC</t>
  </si>
  <si>
    <t xml:space="preserve">ชื่อเสียงองค์กร 
(Image and Reputation)  </t>
  </si>
  <si>
    <t>ภาพลักษณ์ GPSC ต่อสาธารณะ/สื่อ</t>
  </si>
  <si>
    <t>ทำให้เกิดความไม่พอใจจากสาธารณะ เช่น การเขียนบทความวิจารณ์</t>
  </si>
  <si>
    <t>ทำให้เกิดความไม่พอใจอย่างมากจากสาธารณะ เช่น การแสดงความเห็นคัดค้านผ่านสื่อต่างๆ</t>
  </si>
  <si>
    <t>ทำให้เกิดการต่อต้านอย่างรุนแรงจากสาธารณะ เช่น การประท้วงจากชุมชน</t>
  </si>
  <si>
    <t>ภาพลักษณ์ GPSC ต่อชุมชน</t>
  </si>
  <si>
    <t>มีผลกระทบต่อชุมชนรอบสถานประกอบการ/โรงงานเล็กน้อย โดยได้รับคำติเตียนข้อครหาอย่างไม่เป็นทางการผ่านช่องทางต่างๆ ของบริษัท</t>
  </si>
  <si>
    <t>มีผลกระทบต่อชุมชนรอบสถานประกอบการ/โรงงาน โดยได้รับข้อร้องเรียนอย่างเป็นลายลักษณ์อักษร และดำเนินแก้ไขได้ภายใน 1 สัปดาห์</t>
  </si>
  <si>
    <t>มีผลกระทบต่อชุมชนรอบสถานประกอบการ/โรงงานโดย ได้รับข้อร้องเรียนอย่างเป็นลายลักษณ์อักษร  และถูกดำเนินการตรวจสอบจากหน่วยงานกำกับดูแลจากภายนอก</t>
  </si>
  <si>
    <r>
      <t xml:space="preserve">มีผลกระทบรุนแรงต่อชุมชนเป็นบริเวณกว้าง </t>
    </r>
    <r>
      <rPr>
        <sz val="10"/>
        <color rgb="FFFF0000"/>
        <rFont val="Tahoma"/>
        <family val="2"/>
      </rPr>
      <t xml:space="preserve"> </t>
    </r>
    <r>
      <rPr>
        <sz val="10"/>
        <color theme="1"/>
        <rFont val="Tahoma"/>
        <family val="2"/>
      </rPr>
      <t>โดยได้รับคำสั่งหยุดการดำเนินการ หรือถูกประท้วงจากมวลชนจนไม่สามารถดำเนินธุรกิจได้</t>
    </r>
  </si>
  <si>
    <t xml:space="preserve">สิ่งแวดล้อม
</t>
  </si>
  <si>
    <t>เกิดผลกระทบต่อสิ่งแวดล้อมในบริเวณข้างเคียงเล็กน้อย โดยไม่ต้องมีมาตรการดำเนินการแก้ไข</t>
  </si>
  <si>
    <r>
      <t xml:space="preserve">เกิดผลกระทบต่อสิ่งแวดล้อมโดยสามารถดำเนินการแก้ไขได้ภายใน 1 วัน หรือใช้ระยะเวลาในการบรรเทา/ฟื้นฟูให้กลับคืนสภาพได้ภายในระยะเวลา </t>
    </r>
    <r>
      <rPr>
        <u/>
        <sz val="10"/>
        <rFont val="Calibri"/>
        <family val="2"/>
        <scheme val="minor"/>
      </rPr>
      <t>&lt;</t>
    </r>
    <r>
      <rPr>
        <sz val="10"/>
        <rFont val="Calibri"/>
        <family val="2"/>
        <scheme val="minor"/>
      </rPr>
      <t xml:space="preserve"> 1 ปี</t>
    </r>
  </si>
  <si>
    <t>เกิดผลกระทบต่อสิ่งแวดล้อมระดับรุนแรงโดยสามารถดำเนินการแก้ไขได้ในระยะเวลามากกว่า 1 วัน แต่ไม่เกิน 1  เดือน หรือสามารถใช้ระยะเวลาในการบรรเทา/ฟื้นฟูให้กลับคืนสภาพได้ภายในระยะเวลาตั้งแต่ 1-5 ปี</t>
  </si>
  <si>
    <t>เกิดผลกระทบต่อสิ่งแวดล้อมระดับรุนแรงมาก โดยสามารถดำเนินการแก้ไขได้ในระยะเวลามากกว่า 1  เดือน หรือต้องอาศัยระยะเวลามากกว่า 5 ปีขึ้นไปในการบรรเทา/ฟื้นฟู หรือเสียหายจนยากต่อการฟื้นฟู</t>
  </si>
  <si>
    <t>ด้านลูกค้า 
(Customers)</t>
  </si>
  <si>
    <t>ปริมาณขายผลิตภัณฑ์/บริการของ GPSC</t>
  </si>
  <si>
    <t>ลูกค้าที่ไม่ใช่ลูกค้าหลักลดการซื้อผลิตภัณฑ์/บริการ</t>
  </si>
  <si>
    <t>ลูกค้าที่ไม่ใช่ลูกค้าหลักเลิกซื้อผลิตภัณฑ์/บริการ</t>
  </si>
  <si>
    <t>ลูกค้าหลักลดการซื้อผลิตภัณฑ์/บริการ</t>
  </si>
  <si>
    <t>ลูกค้าหลักเลิกซื้อผลิตภัณฑ์/บริการ</t>
  </si>
  <si>
    <t>ความพึงพอใจของลูกค้า/คู่ค้า</t>
  </si>
  <si>
    <t>ลูกค้า/คู่ค้าแสดงความไม่พอใจร้องเรียนกลับมาที่บริษัท</t>
  </si>
  <si>
    <t>ลูกค้า/คู่ค้าแสดงความไม่พอใจผ่านสื่อต่างๆ</t>
  </si>
  <si>
    <t>ลูกค้า/คู่ค้าฟ้องร้องบริษัท</t>
  </si>
  <si>
    <t>ด้านบุคคล
(People)</t>
  </si>
  <si>
    <t>ความปลอดภัยและสุขภาพ</t>
  </si>
  <si>
    <t>พนักงาน ลูกค้า คู่ค้า หรือผู้มีส่วนได้ส่วนเสียได้รับบาดเจ็บจนต้องได้รับการปฐมพยาบาลทางการแพทย์</t>
  </si>
  <si>
    <t>พนักงาน ลูกค้า คู่ค้า หรือผู้มีส่วนได้ส่วนเสีย ได้รับบาดเจ็บหรือเจ็บป่วยจนต้องได้รับการรักษาจากแพทย์ (OPD) แต่ไม่ต้องเข้าพักรักษาในโรงพยาบาล</t>
  </si>
  <si>
    <t>พนักงาน ลูกค้า คู่ค้า หรือผู้มีส่วนได้ส่วนเสีย ได้รับบาดเจ็บหนักหรือเจ็บป่วยจนต้องเข้าพักรักษาในโรงพยาบาล (IPD)</t>
  </si>
  <si>
    <t>พนักงาน ลูกค้า คู่ค้า หรือผู้มีส่วนได้ส่วนเสีย ทุพพลภาพ/เสียชีวิต</t>
  </si>
  <si>
    <t>ความพึงพอใจของพนักงาน</t>
  </si>
  <si>
    <t>พนักงานเกิดความไม่พอใจ และสามารถบริหารจัดการแก้ไขได้ภายในหน่วยงาน</t>
  </si>
  <si>
    <t>พนักงานเกิดความไม่พึงพอใจ และมีความจำเป็นต้องอาศัยหน่วยงานกลาง (HR) ในการดำเนินการแก้ไข</t>
  </si>
  <si>
    <t>พนักงานเกิดความไม่พึงพอใจสูง และมีการร้องเรียนผ่านช่องทางภายในบริษัท</t>
  </si>
  <si>
    <t>พนักงานเกิดความไม่พึงพอใจรุนแรง เช่น นัดหยุดงานหรือลาออก และส่งผลให้การดำเนินธุรกิจหยุดชะงัก หรือเกิดข้อพิพาทที่ต้องเข้าสู่กระบวนการทางกฎหมาย</t>
  </si>
  <si>
    <t>Likelihood</t>
  </si>
  <si>
    <t>Level</t>
  </si>
  <si>
    <t>Low
1</t>
  </si>
  <si>
    <t>Medium
2</t>
  </si>
  <si>
    <t>High
3</t>
  </si>
  <si>
    <t>Extreme
4</t>
  </si>
  <si>
    <r>
      <t>&gt;</t>
    </r>
    <r>
      <rPr>
        <sz val="12"/>
        <color theme="1"/>
        <rFont val="Tahoma"/>
        <family val="2"/>
      </rPr>
      <t>10% to &lt; 20%</t>
    </r>
  </si>
  <si>
    <r>
      <t>&gt;</t>
    </r>
    <r>
      <rPr>
        <sz val="12"/>
        <color theme="1"/>
        <rFont val="Tahoma"/>
        <family val="2"/>
      </rPr>
      <t>20% to &lt; 50%</t>
    </r>
  </si>
  <si>
    <t>Never or occure 1 time 
in 5 years</t>
  </si>
  <si>
    <t>Occure 1 time in 3 years</t>
  </si>
  <si>
    <r>
      <rPr>
        <sz val="12"/>
        <rFont val="Tahoma"/>
        <family val="2"/>
      </rPr>
      <t>O</t>
    </r>
    <r>
      <rPr>
        <sz val="12"/>
        <color theme="1"/>
        <rFont val="Tahoma"/>
        <family val="2"/>
      </rPr>
      <t>ccure 1 time in a year</t>
    </r>
  </si>
  <si>
    <r>
      <rPr>
        <sz val="12"/>
        <rFont val="Tahoma"/>
        <family val="2"/>
      </rPr>
      <t>O</t>
    </r>
    <r>
      <rPr>
        <sz val="12"/>
        <color theme="1"/>
        <rFont val="Tahoma"/>
        <family val="2"/>
      </rPr>
      <t>ccure more than 1 time 
in a year</t>
    </r>
  </si>
  <si>
    <t>Impact</t>
  </si>
  <si>
    <t>Financial</t>
  </si>
  <si>
    <r>
      <t xml:space="preserve">Net Profit: </t>
    </r>
    <r>
      <rPr>
        <sz val="10"/>
        <color theme="1"/>
        <rFont val="Tahoma"/>
        <family val="2"/>
      </rPr>
      <t>Lower than Target</t>
    </r>
  </si>
  <si>
    <r>
      <t xml:space="preserve">&gt; 1.25% to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2.5%</t>
    </r>
  </si>
  <si>
    <r>
      <t xml:space="preserve">&gt; 2.5% to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5%</t>
    </r>
  </si>
  <si>
    <r>
      <t xml:space="preserve">EBITDA: </t>
    </r>
    <r>
      <rPr>
        <sz val="10"/>
        <color theme="1"/>
        <rFont val="Tahoma"/>
        <family val="2"/>
      </rPr>
      <t>Lower than Target</t>
    </r>
  </si>
  <si>
    <r>
      <t xml:space="preserve">Revenue: </t>
    </r>
    <r>
      <rPr>
        <sz val="10"/>
        <color theme="1"/>
        <rFont val="Tahoma"/>
        <family val="2"/>
      </rPr>
      <t>Lower than Target</t>
    </r>
  </si>
  <si>
    <r>
      <t xml:space="preserve">Expense: </t>
    </r>
    <r>
      <rPr>
        <sz val="10"/>
        <color theme="1"/>
        <rFont val="Tahoma"/>
        <family val="2"/>
      </rPr>
      <t>Higher than Target</t>
    </r>
  </si>
  <si>
    <r>
      <t xml:space="preserve">Project Return: Equity IRR  
</t>
    </r>
    <r>
      <rPr>
        <sz val="10"/>
        <color theme="1"/>
        <rFont val="Tahoma"/>
        <family val="2"/>
      </rPr>
      <t>Lower than Target</t>
    </r>
  </si>
  <si>
    <r>
      <t xml:space="preserve"> &lt;</t>
    </r>
    <r>
      <rPr>
        <sz val="10"/>
        <color theme="1"/>
        <rFont val="Tahoma"/>
        <family val="2"/>
      </rPr>
      <t xml:space="preserve"> 5 % from base case</t>
    </r>
  </si>
  <si>
    <r>
      <t xml:space="preserve"> &gt; 5 % to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10 % from base case</t>
    </r>
  </si>
  <si>
    <r>
      <t xml:space="preserve">&gt; 10% to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15% from base case</t>
    </r>
  </si>
  <si>
    <t xml:space="preserve"> &gt;15 % to base case</t>
  </si>
  <si>
    <t>Project Cost Overrun</t>
  </si>
  <si>
    <r>
      <t>&lt;</t>
    </r>
    <r>
      <rPr>
        <sz val="10"/>
        <color theme="1"/>
        <rFont val="Tahoma"/>
        <family val="2"/>
      </rPr>
      <t xml:space="preserve"> 1.25% from base case</t>
    </r>
  </si>
  <si>
    <r>
      <t xml:space="preserve">&gt; 1.25% to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2.5% 
from base case</t>
    </r>
  </si>
  <si>
    <r>
      <t xml:space="preserve">&gt; 2.5% to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5% from base case</t>
    </r>
  </si>
  <si>
    <t>&gt; 5% from base case</t>
  </si>
  <si>
    <t>Business Process and Operation</t>
  </si>
  <si>
    <t>Process Effectiveness</t>
  </si>
  <si>
    <t>Slight/Minor impact on operating/core process, and can be controlled and recovered by owner</t>
  </si>
  <si>
    <t>Moderate impact on operating/core process, and need support from related party to control and recover</t>
  </si>
  <si>
    <t>High impact on operating/core process, and need to stop/slow down some part of the core process</t>
  </si>
  <si>
    <t>Extreme impact on operating/core process, and also affect to customers' product or business target</t>
  </si>
  <si>
    <t>Product/Service</t>
  </si>
  <si>
    <t xml:space="preserve">Delay in delivery of the product/service  </t>
  </si>
  <si>
    <t xml:space="preserve">Delay in delivery and unable to meet quality standard of the product/service  </t>
  </si>
  <si>
    <t xml:space="preserve">Delivery of the product/service cannot be done </t>
  </si>
  <si>
    <t>Delivery of the product/service cannot be done, and company is charged with additional costs or damage claim</t>
  </si>
  <si>
    <t>Regulatory Compliance</t>
  </si>
  <si>
    <t>Not comply with the regulations, policies, procedures and standards of the company</t>
  </si>
  <si>
    <t>Not comply with the laws and regulations from external regulator, but can be resolved immediately</t>
  </si>
  <si>
    <t>Not comply with the laws and regulations from external regulator, and be punished according to law or required to remedy according to external regulator's order</t>
  </si>
  <si>
    <r>
      <t>Not comply with the laws and regulations from external regulator, and cause revokation of license or dissolution</t>
    </r>
    <r>
      <rPr>
        <strike/>
        <sz val="10"/>
        <color rgb="FFFF0000"/>
        <rFont val="Tahoma"/>
        <family val="2"/>
      </rPr>
      <t/>
    </r>
  </si>
  <si>
    <t>Project Delay (from BOD Approval Plan)</t>
  </si>
  <si>
    <r>
      <t xml:space="preserve">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3% from plan 
or &lt; 1 month</t>
    </r>
  </si>
  <si>
    <r>
      <t xml:space="preserve"> 3% &lt; X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5% from plan 
or &lt; 2 months</t>
    </r>
  </si>
  <si>
    <r>
      <t xml:space="preserve">5% &lt; X </t>
    </r>
    <r>
      <rPr>
        <u/>
        <sz val="10"/>
        <color theme="1"/>
        <rFont val="Tahoma"/>
        <family val="2"/>
      </rPr>
      <t>&lt;</t>
    </r>
    <r>
      <rPr>
        <sz val="10"/>
        <color theme="1"/>
        <rFont val="Tahoma"/>
        <family val="2"/>
      </rPr>
      <t xml:space="preserve"> 10% from plan
or &lt; 3 months</t>
    </r>
  </si>
  <si>
    <r>
      <t xml:space="preserve">Delay from plan &gt; 10% 
or </t>
    </r>
    <r>
      <rPr>
        <u/>
        <sz val="10"/>
        <color theme="1"/>
        <rFont val="Tahoma"/>
        <family val="2"/>
      </rPr>
      <t>&gt;</t>
    </r>
    <r>
      <rPr>
        <sz val="10"/>
        <color theme="1"/>
        <rFont val="Tahoma"/>
        <family val="2"/>
      </rPr>
      <t xml:space="preserve"> 3 months</t>
    </r>
  </si>
  <si>
    <t>Subsidiary Management</t>
  </si>
  <si>
    <t xml:space="preserve">Managing subsidiary aligns with GPSC's policy or GPSC way of conduct, and can be controlled </t>
  </si>
  <si>
    <t xml:space="preserve">Managing subsidiary aligns with GPSC's policy or GPSC way of conduct, and cannot be controlled </t>
  </si>
  <si>
    <t>Managing subsidiary does not align with GPSC's policy or GPSC way of conduct</t>
  </si>
  <si>
    <t xml:space="preserve">Managing subsidiary does not align with GPSC's policy or GPSC way of conduct, and caues impact to GPSC business </t>
  </si>
  <si>
    <t xml:space="preserve">
Image and Reputation</t>
  </si>
  <si>
    <t>GPSC Image to Public/Media</t>
  </si>
  <si>
    <t xml:space="preserve">Moderate adveres impact from the public i.e. negative criticism in publication </t>
  </si>
  <si>
    <t>High adveres impact from the public i.e. negative feedback in media coverage</t>
  </si>
  <si>
    <t>Extreme adveres impact from the public i.e. local community protest</t>
  </si>
  <si>
    <t>GPSC Image to Community</t>
  </si>
  <si>
    <t>Minor impact on local community with informal feedback from various internal company channels</t>
  </si>
  <si>
    <t>Impact on local community with formal letter, but can be recovered within 1 week</t>
  </si>
  <si>
    <t>Impact on local community with formal letter, and be investigated from external regulator</t>
  </si>
  <si>
    <t>Extreme impact on community in wide area, and be ordered to stop operation or unable to operate due to the protest</t>
  </si>
  <si>
    <t xml:space="preserve">Environment
</t>
  </si>
  <si>
    <t>Minor impact on the environment in surrounding areas without required additional action</t>
  </si>
  <si>
    <t>Impact on the environment which can be resolved within 1 day or need less than 1 week for restoration/rehabilitation</t>
  </si>
  <si>
    <t>High impact on the environment which can be resolved withinh 1 month or need 1-5 years for restoration/rehabilitation</t>
  </si>
  <si>
    <t>Extreme impact on the environment which can be resolved more than 1 month or need more than 5 years for restoration/rehabilitation</t>
  </si>
  <si>
    <t>Customers</t>
  </si>
  <si>
    <t>Volume of Product/Service</t>
  </si>
  <si>
    <t xml:space="preserve">General customer reduces purchasing of products/services.
</t>
  </si>
  <si>
    <t xml:space="preserve">General customer stops purchasing of products/services.
</t>
  </si>
  <si>
    <t xml:space="preserve">Main customer reduces purchasing of products/services.
</t>
  </si>
  <si>
    <t xml:space="preserve">Main customer stops purchasing of products/services.
</t>
  </si>
  <si>
    <t>Customer/Partner Satisfaction</t>
  </si>
  <si>
    <t>Complaint of dissatisfacton from customer/partner is reported to the company</t>
  </si>
  <si>
    <t>Dissatisfaction from customer/partner is published in  media channels</t>
  </si>
  <si>
    <t>Customer/partner sues the company</t>
  </si>
  <si>
    <t xml:space="preserve">
People</t>
  </si>
  <si>
    <t>Health and Safety</t>
  </si>
  <si>
    <t>Employee, customer, partner, or stakeholder is injured and required medical first aid</t>
  </si>
  <si>
    <t>Employee, customer, partner, or stakeholder is injured and required medical treatment (OPD)</t>
  </si>
  <si>
    <t>Employee, customer, partner, or stakeholder is severely injured and required hospitalization (IPD).</t>
  </si>
  <si>
    <t>Employee, customer, partner, or stakeholder is permanent incapacity/dealth</t>
  </si>
  <si>
    <t>Employee Engagement</t>
  </si>
  <si>
    <t>Employees are dissatisfied, and the issues can be managed within the department</t>
  </si>
  <si>
    <t>Employees are dissatisfied, and need HR department to resolve the issues</t>
  </si>
  <si>
    <t>Employees are severely dissatisfied, and complaints are addressed through company channels</t>
  </si>
  <si>
    <t>Employees are extremely dissatisfied and expressed by resigning or protesting, which result in business interruption or legal dispute</t>
  </si>
  <si>
    <t>พื้นที่</t>
  </si>
  <si>
    <t xml:space="preserve">GPSC BKK : Empire Tower </t>
  </si>
  <si>
    <t>โครงการแฟลซ</t>
  </si>
  <si>
    <t>ฝ่ายการพาณิชย์ กลุ่มลูกค้า GPSCและบริหารสัญญา</t>
  </si>
  <si>
    <t>ฝ่ายความมั่นคงปลอดภัย อาชีวอนามัและสิ่งแวดล้อม</t>
  </si>
  <si>
    <t xml:space="preserve">ฝ่ายซ่อมบำรุงโรงไฟฟ้า </t>
  </si>
  <si>
    <t>ฝ่ายนวัฒกรรมและเทคโนโลยีพลังงาน</t>
  </si>
  <si>
    <t>ฝ่ายบริหารการเปลี่ยนแปลงและความยั่งยืนองค์กร</t>
  </si>
  <si>
    <t>FTS</t>
  </si>
  <si>
    <t>ฝ่ายบริหารเงินทุนและการเงินองค์กร</t>
  </si>
  <si>
    <t>ฝ่ายพัฒนาธุรกิจพื้นที่อื่นและพัฒนาโครงการลงทุน</t>
  </si>
  <si>
    <t>ฝ่ายวิเคราะห์โครงการลงทุน</t>
  </si>
  <si>
    <t>FSS</t>
  </si>
  <si>
    <t>ฝ่ายศูนย์บริการด้านการเงินและบัญชีองค์กร</t>
  </si>
  <si>
    <t>HHPC</t>
  </si>
  <si>
    <t>โรงไฟฟ้าห้วยเฮาะ</t>
  </si>
  <si>
    <t xml:space="preserve">OC1M </t>
  </si>
  <si>
    <t>ส่วนปฏิบัติการผลิต  CUP1</t>
  </si>
  <si>
    <t>ส่วนปฏิบัติการผลิต  CUP2</t>
  </si>
  <si>
    <t>ส่วนปฏิบัติการผลิต  CUP3</t>
  </si>
  <si>
    <t>ส่วนปฏิบัติการผลิต  CUP4</t>
  </si>
  <si>
    <t>ส่วนปฏิบัติการผลิต  SPP11</t>
  </si>
  <si>
    <t>ส่วนปฏิบัติการผลิต SRC</t>
  </si>
  <si>
    <t>OGM</t>
  </si>
  <si>
    <t>ส่วนโรงไฟฟ้า GHECO-One</t>
  </si>
  <si>
    <t xml:space="preserve">ส่วนโรงไฟฟ้า Phase 2 Cogen </t>
  </si>
  <si>
    <t xml:space="preserve">ส่วนวางแผนการพาณิชย์  </t>
  </si>
  <si>
    <t>หน่วยการพาณิชย์ กลุ่มลูกค้าอุตสาหกรรม Glow</t>
  </si>
  <si>
    <t xml:space="preserve">หน่วยซ่อมบำรุงงโรงไฟฟ้าพื้นที่ระยอง  </t>
  </si>
  <si>
    <t xml:space="preserve">หน่วยเทคโนโลยีสารสนเทศ </t>
  </si>
  <si>
    <t xml:space="preserve">หน่วยพัฒนาธุรกิจต่างประเทศ </t>
  </si>
  <si>
    <t>หน่วยโรงไฟฟ้า Phase 3 Gas/ Coal</t>
  </si>
  <si>
    <t>หน่วยลูกค้าสัมพันธ์ Glow</t>
  </si>
  <si>
    <t>Strategy and Business Growth</t>
  </si>
  <si>
    <t>Operational Management</t>
  </si>
  <si>
    <t>Quality, Safety, Health, and Environment</t>
  </si>
  <si>
    <t>Human Resource and Organization Capability</t>
  </si>
  <si>
    <t>Project Execution</t>
  </si>
  <si>
    <t>Legal, Regulation and Compliance</t>
  </si>
  <si>
    <t xml:space="preserve">A. สูญเสียรายได้โดยตรง </t>
  </si>
  <si>
    <t>F - กำไรสุทธิต่ำกว่าเป้าหมาย</t>
  </si>
  <si>
    <t xml:space="preserve">B.ผลกระทบต่อลูกค้า </t>
  </si>
  <si>
    <t>F - กำไรขั้นต้นต่ำกว่าเป้าหมาย</t>
  </si>
  <si>
    <t>Likelyhood Level</t>
  </si>
  <si>
    <t>Impact Level</t>
  </si>
  <si>
    <t xml:space="preserve">C.ผลกระทบต่อชีวิตและความปลอดภัย </t>
  </si>
  <si>
    <t>F - รายได้ต่ำกว่าเป้าหมาย</t>
  </si>
  <si>
    <t>D.การหยุดชะงักของการปฏิบัติงาน/หน้าที่และงานประจำวัน</t>
  </si>
  <si>
    <t>F - ค่าใช้จ่ายสูงกว่าเป้าหมาย</t>
  </si>
  <si>
    <t>E.ผลกระทบต่อชื่อเสียง</t>
  </si>
  <si>
    <t>F - ผลตอบแทนการลงทุนต่ำกว่าเป้าหมาย</t>
  </si>
  <si>
    <t>F.ผลกระทบต่อสัญญา/ข้อตกลงระดับของการให้บริการ</t>
  </si>
  <si>
    <t>F - ประมาณลงทุนสูงกว่าที่ได้รับอนุมัติ</t>
  </si>
  <si>
    <t>G.ไม่สอดคล้องตามกฎหมายกำหนด</t>
  </si>
  <si>
    <t>B - ประสิทธิผลของกระบวนการ</t>
  </si>
  <si>
    <t>B - ผลิตภัณฑ์หรือบริการ</t>
  </si>
  <si>
    <t>B - การปฏิบัติตามกฎหมาย/กฎระเบียบ/ข้อบังคับ</t>
  </si>
  <si>
    <t>B - ระยะเวลาดำเนินโครงการล่าช้า</t>
  </si>
  <si>
    <t>B - การกำกับดูแลบริษัทในเครือ</t>
  </si>
  <si>
    <t>I - ภาพลักษณ์ต่อสาธารณะ/สื่อ</t>
  </si>
  <si>
    <t>I - ภาพลักษณ์ GPSC ต่อชุมชน</t>
  </si>
  <si>
    <t xml:space="preserve">I - สิ่งแวดล้อม
</t>
  </si>
  <si>
    <t>C - ปริมาณขายผลิตภัณฑ์/บริการของ GPSC</t>
  </si>
  <si>
    <t xml:space="preserve">C - ความพึงพอใจของลูกค้า/คู่ค้า
</t>
  </si>
  <si>
    <t xml:space="preserve">P - ความปลอดภัยและสุขภาพ
</t>
  </si>
  <si>
    <t xml:space="preserve">P - ความพึงพอใจของพนักงาน
</t>
  </si>
  <si>
    <t>ทะเบียนรายการกิจกรรม (การดำเนินงาน/กระบวนการผลิต/เครื่องจักร) / พื้นที่</t>
  </si>
  <si>
    <t>ผู้ประเมิน</t>
  </si>
  <si>
    <t>OCOT/OC1M</t>
  </si>
  <si>
    <t>วันที่ประเมิน</t>
  </si>
  <si>
    <t>วิธีการประเมิน</t>
  </si>
  <si>
    <t>ประเมินแบบพื้นที่</t>
  </si>
  <si>
    <t>ทบทวนครั้งที่</t>
  </si>
  <si>
    <t>ชื่อหน่วยงาน</t>
  </si>
  <si>
    <t>ชื่อพื้นที่ประเมิน</t>
  </si>
  <si>
    <t>ความสำคัญในการประเมิน BIA</t>
  </si>
  <si>
    <t>1.การผลิตไฟฟ้า</t>
  </si>
  <si>
    <t>การรับวัตถุดิบ (น้ำDemin)</t>
  </si>
  <si>
    <t>สำคัญ</t>
  </si>
  <si>
    <t>2.การผลิตไอน้ำ</t>
  </si>
  <si>
    <t>การรับวัตถุดิบ (น้ำ Clearify water)</t>
  </si>
  <si>
    <t>3.การผลิตน้ำอุตสาหกรรม</t>
  </si>
  <si>
    <t>การรับวัตถุดิบ (สารเคมี)</t>
  </si>
  <si>
    <t>การรับวัตถุดิบ (ก๊าซเชื้อเพลิง)</t>
  </si>
  <si>
    <t>การรับวัตถุดิบ (น้ำมันเชื้อเพลิงสำหรับระบบดับเพลิง)</t>
  </si>
  <si>
    <t>การรับวัตถุดิบ (ไฟฟ้าสำหรับ Start up process)</t>
  </si>
  <si>
    <t>เดินเครื่องระบบ BOP (Cooling, Air Compressor )</t>
  </si>
  <si>
    <t>เดินเครื่องระบบ Fuel Gas</t>
  </si>
  <si>
    <t>เดินเครื่องระบบ Demin, Condensate และ Neutralization.</t>
  </si>
  <si>
    <t xml:space="preserve">เดินเครื่องระบบ BFW และ Deaerator </t>
  </si>
  <si>
    <t>เดินเครื่อง Aux Boiler , HRSG และ Emission Control.</t>
  </si>
  <si>
    <t>เดินเครื่องระบบ GTG</t>
  </si>
  <si>
    <t>เดินเครื่องระบบส่งผ่านผลิตภัณฑ์ (สายไฟฟ้า)</t>
  </si>
  <si>
    <t>เดินเครื่องระบบส่งผ่านผลิตภัณฑ์ (ท่อไอน้ำ)</t>
  </si>
  <si>
    <t>เดินเครื่องระบบส่งผ่านผลิตภัณฑ์ (ท่อน้ำ)</t>
  </si>
  <si>
    <t>การส่งมอบผลิตภัณฑ์ผ่าน Metering Station (ไฟฟ้า,ไอน้ำ, Demin water)</t>
  </si>
  <si>
    <t>ส่งไฟฟ้าผ่านระบบ Sub station (GIS)</t>
  </si>
  <si>
    <t>กำกับดูแล การจดมาตรวัดของวัตถุดิบและผลิตภัณฑ์</t>
  </si>
  <si>
    <t xml:space="preserve">ระบบควบคุมการผลิต ( UPS ,DCS) </t>
  </si>
  <si>
    <t>แบบวิเคราะห์ผลกระทบทางธุรกิจ Business Impact Analysis Form</t>
  </si>
  <si>
    <t xml:space="preserve"> Product &amp; Service
ผลิตภัณฑ์และบริการ</t>
  </si>
  <si>
    <t>Impact Category
ประเภทของผลกระทบที่เกิดขึ้น</t>
  </si>
  <si>
    <t xml:space="preserve">Severity of Impact Over Time  ระดับผลกระทบที่เพิ่มขึ้นในแต่ละวัน </t>
  </si>
  <si>
    <t>Maximum Tolerable Period of Disruption (MTPD)</t>
  </si>
  <si>
    <t>Recovery Time Objective
(RTO)</t>
  </si>
  <si>
    <t>Minimum Business Continuity Objective (MBCO)</t>
  </si>
  <si>
    <t xml:space="preserve">Crisis
ภัยคุกคาม
</t>
  </si>
  <si>
    <t>Resource ทรัพยากร</t>
  </si>
  <si>
    <t>1 Hour</t>
  </si>
  <si>
    <t>4 Hour</t>
  </si>
  <si>
    <t>8 Hour</t>
  </si>
  <si>
    <t>12 Hour</t>
  </si>
  <si>
    <t>24 Hour</t>
  </si>
  <si>
    <t>3 Days</t>
  </si>
  <si>
    <t>14 Days</t>
  </si>
  <si>
    <t>30 Days</t>
  </si>
  <si>
    <t>รวมคะแนน</t>
  </si>
  <si>
    <t>การจัดลำดับ</t>
  </si>
  <si>
    <t>People
บุคลากร
(ปกติ)</t>
  </si>
  <si>
    <t>People
บุคลากร
(ฉุกเฉิน)</t>
  </si>
  <si>
    <t>Information
สารสนเทศและข้อมูล
(ปกติ)</t>
  </si>
  <si>
    <t>Information
สารสนเทศและข้อมูล
(ฉุกเฉิน)</t>
  </si>
  <si>
    <t>Building
โครงสร้างพื้นฐานทางกายภาพ เช่นอาคาร 
(ปกติ)</t>
  </si>
  <si>
    <t>Building
โครงสร้างพื้นฐานทางกายภาพ เช่นอาคาร 
(ฉุกเฉิน)</t>
  </si>
  <si>
    <t xml:space="preserve">Equipment
อุปกรณ์และโภคภัณฑ์
(ปกติ)
</t>
  </si>
  <si>
    <t xml:space="preserve">Equipment
อุปกรณ์และโภคภัณฑ์
(ฉุกเฉิน)
</t>
  </si>
  <si>
    <t>ICT
ระบบเทคโนโลยีสารสนเทศและการสื่อสาร 
(ปกติ)</t>
  </si>
  <si>
    <t>ICT
ระบบเทคโนโลยีสารสนเทศและการสื่อสาร 
(ฉุกเฉิน)</t>
  </si>
  <si>
    <t>Logistics
การขนส่งและโลจิสติกส์
(ปกติ)</t>
  </si>
  <si>
    <t>Logistics
การขนส่งและโลจิสติกส์
(ฉุกเฉิน)</t>
  </si>
  <si>
    <t>Finance
การเงิน
(ปกติ)</t>
  </si>
  <si>
    <t>Finance
การเงิน
(ฉุกเฉิน)</t>
  </si>
  <si>
    <t>Supplier
หุ้นส่วนและผู้ส่งมอบ
(ปกติ)</t>
  </si>
  <si>
    <t>Supplier
หุ้นส่วนและผู้ส่งมอบ
(ฉุกเฉิน)</t>
  </si>
  <si>
    <t>ควบคุมการผลิตไฟฟ้าและดูแลการปฏิบัติการผลิตให้กับลูกค้า</t>
  </si>
  <si>
    <t>1. การเงิน</t>
  </si>
  <si>
    <t>24 Hours</t>
  </si>
  <si>
    <t>50% (80 MW)</t>
  </si>
  <si>
    <t>Control Room</t>
  </si>
  <si>
    <t>รถยนต์ 1 คัน</t>
  </si>
  <si>
    <t>เงินสำรอง</t>
  </si>
  <si>
    <t>2. กฏหมาย กฏระเบียบ ข้อบังคับ และสัญญา / ข้อตกลงระดับของการให้บริการ</t>
  </si>
  <si>
    <t>3. ความปลอดภัยอาชีวอนามัยของบุคลากร</t>
  </si>
  <si>
    <t>4. สิ่งแวดล้อม</t>
  </si>
  <si>
    <t>5. ลูกค้า คู่ค้า</t>
  </si>
  <si>
    <t>6. กระบวนการทางธุรกิจ และการปฏิบัติการ</t>
  </si>
  <si>
    <t>7. ชื่อเสียงภาพลักษณ์ต่อองค์กร</t>
  </si>
  <si>
    <t>ควบคุมการผลิตไอน้ำและดูแลการปฏิบัติการผลิตให้กับลูกค้า</t>
  </si>
  <si>
    <t>68% (410 t/h)</t>
  </si>
  <si>
    <t>ควบคุมการผลิตน้ำและดูแลการปฏิบัติการผลิตให้กับลูกค้า</t>
  </si>
  <si>
    <t>100% (430 m3/h)</t>
  </si>
  <si>
    <t xml:space="preserve"> Process
กระบวนการผลิต</t>
  </si>
  <si>
    <t>1 Hours</t>
  </si>
  <si>
    <t>2.การรับวัตถุดิบ (น้ำ Clearify water)</t>
  </si>
  <si>
    <t>3.การรับวัตถุดิบ (สารเคมี)</t>
  </si>
  <si>
    <t>4.การรับวัตถุดิบ (ก๊าซเชื้อเพลิง)</t>
  </si>
  <si>
    <t>48 Hours</t>
  </si>
  <si>
    <t>5.การรับวัตถุดิบ (น้ำมันเชื้อเพลิงสำหรับระบบดับเพลิง)</t>
  </si>
  <si>
    <t>6.การรับวัตถุดิบ (ไฟฟ้าสำหรับ Start up process)</t>
  </si>
  <si>
    <t>7 Days</t>
  </si>
  <si>
    <t>8.เดินเครื่องระบบ Fuel Gas</t>
  </si>
  <si>
    <t>9.เดินเครื่องระบบ Demin, Condensate และ Neutralization.</t>
  </si>
  <si>
    <t xml:space="preserve">10.เดินเครื่องระบบ BFW และ Deaerator </t>
  </si>
  <si>
    <t>11.เดินเครื่อง Aux Boiler , HRSG และ Emission Control.</t>
  </si>
  <si>
    <t>12.เดินเครื่องระบบ GTG</t>
  </si>
  <si>
    <t>140 Days</t>
  </si>
  <si>
    <t>13.เดินเครื่องระบบส่งผ่านผลิตภัณฑ์ (สายไฟฟ้า)</t>
  </si>
  <si>
    <t>14.เดินเครื่องระบบส่งผ่านผลิตภัณฑ์ (ท่อไอน้ำ)</t>
  </si>
  <si>
    <t>15.เดินเครื่องระบบส่งผ่านผลิตภัณฑ์ (ท่อน้ำ)</t>
  </si>
  <si>
    <t>5 Days</t>
  </si>
  <si>
    <t>16.การส่งมอบผลิตภัณฑ์ผ่าน Metering Station (ไฟฟ้า,ไอน้ำ, Demin water)</t>
  </si>
  <si>
    <t>17.ส่งไฟฟ้าผ่านระบบ Sub station (GIS)</t>
  </si>
  <si>
    <t>90 Days</t>
  </si>
  <si>
    <t>18.กำกับดูแล การจดมาตรวัดของวัตถุดิบและผลิตภัณฑ์</t>
  </si>
  <si>
    <t xml:space="preserve">19.ระบบควบคุมการผลิต ( UPS ,DCS) </t>
  </si>
  <si>
    <t>60 Days</t>
  </si>
  <si>
    <t>21 Days</t>
  </si>
  <si>
    <t>24 ชม</t>
  </si>
  <si>
    <t>1 ชม</t>
  </si>
  <si>
    <t>48 ชม</t>
  </si>
  <si>
    <t>7 วัน</t>
  </si>
  <si>
    <t>140 วัน</t>
  </si>
  <si>
    <t>5 วัน</t>
  </si>
  <si>
    <t>90 วัน</t>
  </si>
  <si>
    <t>60 วัน</t>
  </si>
  <si>
    <t>No.</t>
  </si>
  <si>
    <t xml:space="preserve">Product &amp; Service
ผลิตภัณฑ์และบริการ </t>
  </si>
  <si>
    <t>Process
กระบวนการผลิต</t>
  </si>
  <si>
    <t>Risk Category
ประเภทความเสี่ยง</t>
  </si>
  <si>
    <t>Impact Type
ประเภทผลกระทบ</t>
  </si>
  <si>
    <t>Posible Risk
ความเสี่ยงที่เป็นไปได้</t>
  </si>
  <si>
    <t>Existing Control 
มาตรการควบคุมที่มีอยู่</t>
  </si>
  <si>
    <t>Risk Assessment</t>
  </si>
  <si>
    <t>Mitigation Plan
(new countermeasure to reduce threats)</t>
  </si>
  <si>
    <t>Time Frame</t>
  </si>
  <si>
    <t>Responsible Person</t>
  </si>
  <si>
    <t>Target</t>
  </si>
  <si>
    <t>I</t>
  </si>
  <si>
    <t>L</t>
  </si>
  <si>
    <t>R</t>
  </si>
  <si>
    <t>MTPD</t>
  </si>
  <si>
    <t>RTO</t>
  </si>
  <si>
    <t>MBCO</t>
  </si>
  <si>
    <t>From</t>
  </si>
  <si>
    <t>To</t>
  </si>
  <si>
    <t>6.กระบวนการทางธุรกิจและการปฏิบัติการ</t>
  </si>
  <si>
    <t xml:space="preserve">1.ถังกักเก็บน้ำชำรุดรั่วไหล
2.ท่อส่งเข้าระบบเสียหาย
3.อุปกรณ์ควบคุมใช้งานไม่ได้
</t>
  </si>
  <si>
    <t>1.จัดหาให้มีระบบถังสารเคมีสำรองเพิ่มอีก 1 ถัง ในการใช้งาน</t>
  </si>
  <si>
    <t>1.ทำระบบไฟฟ้าส่งจ่ายจาก GLOW,PEA มาจ่ายให้กับลูกค้าแทน    
2.ทำระบบท่อไอน้ำจาก GLOW มาจ่ายให้กับลูกค้า</t>
  </si>
  <si>
    <t xml:space="preserve">1.สำรองติดตั้ง Mobile Air compressor ชั่วคราวโดยทำสัญญากับ Supplier
</t>
  </si>
  <si>
    <t xml:space="preserve">1.ให้มีทีมซ่อมบำรุง และชิ้นส่วนอะไหล่ ตลอด24 ชม. เพื่อไม่ต้องเสียเวลาในการรอคอย ในขณะที่ตาม oncall
</t>
  </si>
  <si>
    <t>1.เพิ่มระบบสายส่งเป็น 2 Feeder ใช้งาน 1 Feeder Standby เตรียมพร้อมอีก 1 Feeder (EGAT)
2.สลับแหล่งจ่ายไฟลูกค้า GPSC ไปรับยัง บริษัท Glow</t>
  </si>
  <si>
    <t xml:space="preserve">1.ให้มีทีมซ่อมบำรุง และชิ้นส่วนอะไหล่ 
ตลอด24 ชม. เพื่อไม่ต้องเสียเวลาในการรอคอย ในขณะที่ตาม oncall </t>
  </si>
  <si>
    <t xml:space="preserve">1.ให้มีทีมซ่อมบำรุง และชิ้นส่วนอะไหล่ ตลอด24 ชม. เพื่อไม่ต้องเสียเวลาในการรอคอย ในขณะที่ตาม oncall </t>
  </si>
  <si>
    <t>Crisis Senario
ภาวะวิกฤต</t>
  </si>
  <si>
    <t xml:space="preserve">ไม่มีก๊าซธรรมชาติเนื่องจากแท่นขุดเจาะหยุดการผลิต (No fuel (Natural Gas)) และกรณีท่อก๊าซภายนอกชำรุดเนื่องจากเกิดอุบัติเหตุทางถนน             </t>
  </si>
  <si>
    <t>1. ไม่สามารถทราบปริมาณเชื้อเพลิง ที่จะนำมาผลิตกระแสไฟฟ้าได้
2. ไม่สามารถผลิตไฟฟ้า และไอน้ำส่งให้กับลูกค้าได้
3. สูญเสียรายได้</t>
  </si>
  <si>
    <t>1.ทำระบบไฟฟ้าส่งจ่ายจาก GLOW มาจ่ายให้กับลูกค้าแทน    
2.ทำระบบท่อไอน้ำจาก GLOW มาจ่ายให้กับลูกค้า</t>
  </si>
  <si>
    <t xml:space="preserve">ไม่มีน้ำ  (No water) กรณีภัยแล้งและท่อน้ำภายนอกชำรุด             </t>
  </si>
  <si>
    <t xml:space="preserve">Emergency Cases ไฟใหม้ระบบการผลิต          </t>
  </si>
  <si>
    <t>1.ไม่สามารถผลิตกระแสไฟฟ้าส่งให้กับลูกค้าได้
2.ไม่สามารถผลิตไอน้ำ ส่งให้แก่ลูกค้าได้
3.ไม่สามารถผลิต น้ำอุตสาหกรรมเพื่อใช้เอง และส่งผ่านให้กับลูกค้าได้
4.สูญเสียรายได้</t>
  </si>
  <si>
    <t>1.มีการจัดทีมซ้อมแผนฉุกเฉินประจำปี โดยเมื่อเกิดเหตุ มีการแจ้งโดยเสียงตามสาย ประเมินสถานการณ์และอพยพผู้ไม่เกี่ยวข้องไปยังจุดรวมพล
2. ตัดแยกระบบเพื่อไม่ให้เกิดการลุกลามและทำให้อุปกรณ์อื่นๆเสียหาย
3. มีการแจ้งเตือนชุมชมโดย CSR เมื่อมีควันจากไฟไหม้
4. มีทดสอบอุปกรณ์แจ้งเตือนเหตุเพลิงไหม้ และอุปกรณ์ดับเพลิงอย่างเป็นประจำ
5. มีการตรวจสอบความพร้อมและสภาพของเครื่องจักร โดยพนักงานเดินเครื่อง และพนักงานซ่อมบำรุงป็นประจำอย่างต่อเนื่อง
6.เพิ่มทักษะให้กับพนักงานโดยการส่งไปอบรมการดับเพลิง ภายนอก
7. รับไฟฟ้าจากEGAT
'8.มีระบบ PMC ควบคุมระบบจ่ายไฟ และระบบ Shedding ก็นีที่ไฟไม่พอ เพื่อให้ระบบเดินได้ต่อเนื่อง
9.ส่งทีม safety ไปอบรมดับเพลิงขั้นสูง</t>
  </si>
  <si>
    <t xml:space="preserve">ระบบสายส่งชำรุด เกิดจากสายส่งขาด/ระเบิดเนื่องจากการลัดวงจร         </t>
  </si>
  <si>
    <t>1. ไม่สามารถส่งกระแสไฟฟ้าได้
2. สูญเสียรายได้</t>
  </si>
  <si>
    <t xml:space="preserve">1.มีการตรวจสอบอุปกรณ์ป้องกัน โดยพนักงานเดินเครื่อง และสายส่งโดยทีมงานซ่อมบำรุง อย่างประจำ
2. มีแผนการซ่อมบำรุงรักษาระบบส่งจ่ายไฟฟ้ารายปี
3. มีแผนการตรวจสอบระบบส่งจ่ายไฟฟ้าตามระยะเวลาที่กำหนด
4.มีทีมปฏิบัติการในกรณีฉุกเฉิน (on-call) ตลอด 24 ชม. สำหรับงานซ่อมเร่งด่วน
5.จัดเตรียมสายไฟฟ้าสำรองไว้เปลี่ยนในกรณีเกิดเหตุฉุกเฉิน </t>
  </si>
  <si>
    <t>ระบบท่อส่งไอน้ำชำรุด เนื่องจากอุบัติเหตุทางถนนทำให้ท่อขาด</t>
  </si>
  <si>
    <t>1. ไม่สามารถส่งไอน้ำได้
2. ไม่สามารถส่งไอน้ำให้กับลูกค้าได้
3. กระบวนการผลิตและส่งไอน้ำเกิดการหยุดชะงักได้
4. สูญเสียรายได้</t>
  </si>
  <si>
    <t>1.ติดตั้งอุปกรณ์ป้องกันความเสียหายที่มีโอกาสเกิดกับระบบเชื่อมต่อ เช่น Barrior กันรถชน
2. มีแผนการซ่อมบำรุงรักษาระบบส่งจ่ายไอน้ำรายปี
3. มีแผนการตรวจสอบระบบส่งจ่ายไอน้ำตามระยะเวลาที่กำหนด
4.มีทีมปฏิบัติการในกรณีฉุกเฉิน (on-call) ตลอด 24 ชม. สำหรับงานซ่อมเร่งด่วน
5.จัดเตรียม อะไหล่ที่ไว้ใช้ซ่อมท่อ ให้พร้อม พร้อมทีม ซ่อม online stop leak
6.มีการประสานกับ Supplier ให้พร้อมกับการซ่อมระบบท่อ ตลอด 24 ชั่วโมง</t>
  </si>
  <si>
    <t>4 วัน</t>
  </si>
  <si>
    <t>3 วัน</t>
  </si>
  <si>
    <t xml:space="preserve">เครื่องจักรสำคัญเสียหาย กรณี UPS ไม่สามารถจ่ายกระแสไฟฟ้าเนื่องจากอุปกรณ์ภายในเสียหายต่อระบบSubstation /GIS /TR เกิดการลัดวงจร       </t>
  </si>
  <si>
    <t>1.ไม่สามารถขนานเครื่องเข้าระบบได้ ทำให้ไม่สามารถส่งมอบผลิตภัณฑ์ให้ลูกค้า
2. สูญเสียรายได้
3.ไม่สามารถส่งมอบผลิตภัณฑ์ให้กับลูกค้าได้
4.ระบบเครื่องจักรการผลิตหยุดชะงัก</t>
  </si>
  <si>
    <t xml:space="preserve">1. มีแผนซ่อมบำรุงรักษาประจำปี/ ประจำเดือน โดยบริษัทผู้ผลิต
2. มีการติดตั้งอุปกรณ์สำรอง UPS Redundant
3. มีการจด log sheet เพื่อประเมินค่าของอุปกรณ์ว่าผิดปกติหรือไม่และ Vitual check ขณะทำการจด log sheet
4. มีระบบควบคุมอัตโนมัติ (Emergency) และระบบป้องกันอุปกรณ์(Protection)) เพื่อป้องกันเครื่องจักรเสียหาย </t>
  </si>
  <si>
    <t>1 วัน</t>
  </si>
  <si>
    <t xml:space="preserve">ระบบเทคโนโลยีสารสนเทศไม่สามารถใช้งานการโจมตีทางไซเบอร์  (Cyber Attack)           </t>
  </si>
  <si>
    <t>1.ไม่สามารถเข้าใช้งานระบบงานและ Application ที่สำคัญได้
2.ไม่สามารถทำธุรกรรมทางการเงินผ่านระบบสารสนเทศได้
3.มีผลกระทบต่อชื่อเสียงของบริษัท</t>
  </si>
  <si>
    <t xml:space="preserve">1.มีการติดตั้ง Software ในการป้องกันไวรัสโจมตี 
2.มีการเฝ้าระวังการโจมตีทาง Cyber จาก PTT Digital ตลอด 24 ชม
3.ทบทวนรายงานผลการตรวจสอบประสิทธิภาพการทำงานประจำวัน </t>
  </si>
  <si>
    <t>1.งดทำธุรกรรมทางการเงินผ่านระบบเทคโนโลยีสารสนเทศทั้งหมด 
2.สื่อสารให้คนที่ได้รับผลกระทบทราบ ให้ใช้ระบบ Manual 
3.ปิดระบบ IT ทั้งหมด จนกว่าจะดำเนินการแก้ไขเสร็จ</t>
  </si>
  <si>
    <t>สายส่งไฟฟ้า 115 KV PEA /EGAT ชำรุด ไม่สามารถจ่ายไฟมายัง GPSC ได้เป็นระยะเวลานานเกิน 24 ชั่วโมง</t>
  </si>
  <si>
    <t>1.Plant Blackout ไม่สามารถทำการผลิตได้</t>
  </si>
  <si>
    <t>1.มีระบบป้องกัน Relay protection และมีการตรวจสอบตามระยะเวลาที่กำหนด 
2.ออกแบบให้ระบบสามารถเดินเครื่องแบบ Icelanding
3.มีการตรวจวัดความร้อนของสายส่ง
4.มีทีม Hot line oncall 24 hrs.
5.มีระบบในการรับไฟฟ้าได้ 2 แหล่งได้แก่ Sub บ้านฉ่าง และ มาบตาพุต</t>
  </si>
  <si>
    <t xml:space="preserve">1.มีการแจ้งประสานงานกับ PEA / EGATกรณีพบความผิดปกติของสายส่ง
</t>
  </si>
  <si>
    <t>วันเดือนปีที่เกิดเหตุ</t>
  </si>
  <si>
    <t>รายละเอียด</t>
  </si>
  <si>
    <t>ระดับความรุนแรง</t>
  </si>
  <si>
    <t xml:space="preserve">ABCT breaker 5YB-01 trip by relay 87L operate </t>
  </si>
  <si>
    <t>Plant islanding due to ban chang substation switching line to bay spare (inter trip not support this function) </t>
  </si>
  <si>
    <t>ไม่สำคัญ</t>
  </si>
  <si>
    <t>GTG-11 trip by 1391VA979HH and PEA 1YB-01 OPEN plant Islanding by relay 21/21N Zone1</t>
  </si>
  <si>
    <t>GTG-14 was tripped by Load GEAR#1&amp;2 AXIS VIBRAT.high</t>
  </si>
  <si>
    <t>GTG-11 was tripped by alarm "TAHH 534-541 Brg.Metal Temp high trip" </t>
  </si>
  <si>
    <t xml:space="preserve">GTG11 was tripped by "Generator Vibration high trip" </t>
  </si>
  <si>
    <t>Close 52Aux (GTG-12) 87T operate 52L1 Open,52G Open and GTG-12 trip</t>
  </si>
  <si>
    <t>Aux Boiler trip by burner inlet fuel gas pressure low low </t>
  </si>
  <si>
    <t>16:00 Plant islanding, 1YB01 open by inter trip 5YB01 operate from Banchang substation</t>
  </si>
  <si>
    <t>02:39 PEA Maptaphut3 substation tripped. This event impacted to customers (MIGP ,ABCT, LLDPE2) tripped.</t>
  </si>
  <si>
    <t>11:15 GTG11&amp;HRSG11 and GTG12&amp;HRSG12 tripped.</t>
  </si>
  <si>
    <t>11:28 GTG15&amp;HRSG15 tripped.</t>
  </si>
  <si>
    <t>14:33 CUP1 plant blackout.</t>
  </si>
  <si>
    <t xml:space="preserve">18:24 GTG12 tripped.              </t>
  </si>
  <si>
    <t xml:space="preserve">23:55 GTG16 tripped.                         </t>
  </si>
  <si>
    <t>11:44 Plant islanding by external fault.(distance relay operated)  12:17 Synchronize to PEA.</t>
  </si>
  <si>
    <t xml:space="preserve">23:55 GTG13 GEN Breaker 52G opened by lost of power 400 V supply to ACC. Motors                         </t>
  </si>
  <si>
    <t xml:space="preserve">04:27 Plant islanding from external fault (distance relay Z1 operated) impact to customers some load trip                        </t>
  </si>
  <si>
    <t>10:29 GTG11 was tripped by alarm seismic vibration GEN HH trip (39VT) &amp; GTG16 was trip by alarm 77HT module speed signal loss</t>
  </si>
  <si>
    <t>01:05 GTG11 was tripped by alarm seismic vibration GEN HH trip</t>
  </si>
  <si>
    <t>01:05 GTG11 was tripped by alarm vibration 1391VAHH729X HH trip</t>
  </si>
  <si>
    <t>04:45 Aux Boiler trip by burner inlet fuel gas pressure low low </t>
  </si>
  <si>
    <t>17:01 GTG11 was tripped by alarm vibration 1391VAHH729X HH trip</t>
  </si>
  <si>
    <t xml:space="preserve">17:01 GTG15 was tripped by alarm VPRO Diagnostic </t>
  </si>
  <si>
    <t>11:42 PTTAC 115 kV CB 7YB-01 opened to PTTAC was tripped by alarm reverse power relay</t>
  </si>
  <si>
    <t>Plant islanding due to ban chang substation switching line to bay spare (inter trip not support this function)</t>
  </si>
  <si>
    <t>GTG-11 was tripped by alarm "TAHH 534-541 Brg.Metal Temp high trip"</t>
  </si>
  <si>
    <t>GTG11 was tripped by "Generator Vibration high trip"</t>
  </si>
  <si>
    <t>Aux Boiler trip by burner inlet fuel gas pressure low low</t>
  </si>
  <si>
    <t>Plant islanding, 1YB01 open by inter trip 5YB01 operate from Banchang substation</t>
  </si>
  <si>
    <t>PEA Maptaphut3 substation tripped. This event impacted to customers (MIGP ,ABCT, LLDPE2) tripped.</t>
  </si>
  <si>
    <t>GTG11&amp;HRSG11 and GTG12&amp;HRSG12 tripped.</t>
  </si>
  <si>
    <t>GTG15&amp;HRSG15 tripped.</t>
  </si>
  <si>
    <t>CUP1 plant blackout.</t>
  </si>
  <si>
    <t xml:space="preserve">GTG12 tripped.           </t>
  </si>
  <si>
    <t xml:space="preserve">GTG16 tripped.     </t>
  </si>
  <si>
    <t>Plant islanding by external fault.(distance relay operated)</t>
  </si>
  <si>
    <t xml:space="preserve">GTG13 GEN Breaker 52G opened by lost of power 400 V supply to ACC. Motors       </t>
  </si>
  <si>
    <t xml:space="preserve">Plant islanding from external fault (distance relay Z1 operated) impact to customers some load trip               </t>
  </si>
  <si>
    <t>GTG11 was tripped by alarm seismic vibration GEN HH trip (39VT) &amp; GTG16 was trip by alarm 77HT module speed signal loss</t>
  </si>
  <si>
    <t>GTG11 was tripped by alarm seismic vibration GEN HH trip</t>
  </si>
  <si>
    <t>GTG11 was tripped by alarm vibration 1391VAHH729X HH trip</t>
  </si>
  <si>
    <t xml:space="preserve">GTG15 was tripped by alarm VPRO Diagnostic </t>
  </si>
  <si>
    <t>PTTAC 115 kV CB 7YB-01 opened to PTTAC was tripped by alarm reverse power relay</t>
  </si>
  <si>
    <t>Plant incident</t>
  </si>
  <si>
    <t>12 ชม</t>
  </si>
  <si>
    <t>1. Plant incident</t>
  </si>
  <si>
    <t>1. มีการประชุมกับลูกค้าเพื่อวางแผนซ่อมบำรุงรักษาประจำปี/ ประจำเดือน
2.มีแผนการตรวจสอบระบบเครื่องจักร ตามระยะเวลาที่กำหนด
3. มีการจด log sheet เพื่อประเมินค่าของอุปกรณ์ว่าผิดปกติหรือไม่และ Visual check ขณะทำการจด log sheet
4.มีระบบควบคุมอัตโนมัติ (Emergency) และระบบป้องกันอุปกรณ์(Protection)) เพื่อป้องกันเครื่องจักรเสียหาย 
5.มีระบบควบคุมไฟฟ้าโดยอัติโนมัติโดยโปรแกรม PMC
6.มีการจัดทำแผนตอบโต้ฉุกเฉิน ตาม Mitigation plan ภายในการเดินเครื่อง 7.มีระบบควบคุมแรงดันไอน้ำแบบอัตโนมัติ</t>
  </si>
  <si>
    <t xml:space="preserve">1.ให้มีทีมซ่อมบำรุง และชิ้นส่วนอะไหล่ ตลอด24 ชม. เพื่อไม่ต้องเสียเวลาในการรอคอย ในขณะที่ตาม oncall                                      2.จัดทีมคณะทำงานลดการเกิด Incident เรื่อง Trip reduction </t>
  </si>
  <si>
    <t>1. มีแผนซ่อมบำรุงรักษาประจำปี/ ประจำเดือน
2.มีแผนการตรวจสอบระบบเครื่องจักร ตามระยะเวลาที่กำหนด
3. มีการจด log sheet เพื่อประเมินค่าของอุปกรณ์ว่าผิดปกติหรือไม่และ Visual check ขณะทำการจด log sheet
4.มีระบบควบคุมอัตโนมัติ (Emergency) และระบบป้องกันอุปกรณ์(Protection)) เพื่อป้องกันเครื่องจักรเสียหาย 
5.มีการจัดทำแผนตอบโต้ฉุกเฉิน ตาม Mitigation plan ภายในการเดินเครื่อง 6.มีระบบควบคุมแรงดันไอน้ำแบบอัตโนมัติ</t>
  </si>
  <si>
    <t>2 ชม</t>
  </si>
  <si>
    <t>เกณฑ์การประเมินโอกาสเกิด</t>
  </si>
  <si>
    <t xml:space="preserve">  ต่ำ</t>
  </si>
  <si>
    <t>ปานกลาง</t>
  </si>
  <si>
    <t>สูง</t>
  </si>
  <si>
    <t>รุนแรง</t>
  </si>
  <si>
    <t>&lt;10%</t>
  </si>
  <si>
    <r>
      <t>&gt;</t>
    </r>
    <r>
      <rPr>
        <sz val="12"/>
        <color theme="1"/>
        <rFont val="Browallia New"/>
        <family val="2"/>
      </rPr>
      <t>10% ถึง &lt;20%</t>
    </r>
  </si>
  <si>
    <r>
      <t>&gt;</t>
    </r>
    <r>
      <rPr>
        <sz val="12"/>
        <color theme="1"/>
        <rFont val="Browallia New"/>
        <family val="2"/>
      </rPr>
      <t>20% ถึง &lt;50%</t>
    </r>
  </si>
  <si>
    <r>
      <t>&gt;</t>
    </r>
    <r>
      <rPr>
        <sz val="12"/>
        <color theme="1"/>
        <rFont val="Browallia New"/>
        <family val="2"/>
      </rPr>
      <t xml:space="preserve">50% </t>
    </r>
  </si>
  <si>
    <t>ไม่เคย/เคยเกิด 1 ครั้งใน 5 ปี</t>
  </si>
  <si>
    <t>เคยเกิด 1 ครั้งใน 3 ปี</t>
  </si>
  <si>
    <t>เคยเกิด 1 ครั้งใน 1 ปี</t>
  </si>
  <si>
    <t>เคยเกิดขึ้น&gt;1ครั้งใน 1 ปี</t>
  </si>
  <si>
    <t>เกณฑ์การประเมินความรุนแรง</t>
  </si>
  <si>
    <r>
      <t>เกณฑ์การประเมินผลกระทบ (</t>
    </r>
    <r>
      <rPr>
        <sz val="14"/>
        <color rgb="FF000000"/>
        <rFont val="Browallia New"/>
        <family val="2"/>
      </rPr>
      <t>Impact)</t>
    </r>
  </si>
  <si>
    <t>ต่ำ</t>
  </si>
  <si>
    <t>กำไรสุทธิต่ำกว่าเป้าหมาย</t>
  </si>
  <si>
    <r>
      <t xml:space="preserve">&lt; </t>
    </r>
    <r>
      <rPr>
        <sz val="12"/>
        <color theme="1"/>
        <rFont val="Browallia New"/>
        <family val="2"/>
      </rPr>
      <t>1.25%</t>
    </r>
  </si>
  <si>
    <r>
      <t xml:space="preserve">&gt;1.25% ถึง </t>
    </r>
    <r>
      <rPr>
        <u/>
        <sz val="12"/>
        <color theme="1"/>
        <rFont val="Browallia New"/>
        <family val="2"/>
      </rPr>
      <t>&lt;</t>
    </r>
    <r>
      <rPr>
        <sz val="12"/>
        <color theme="1"/>
        <rFont val="Browallia New"/>
        <family val="2"/>
      </rPr>
      <t>2.5%</t>
    </r>
  </si>
  <si>
    <r>
      <t xml:space="preserve">&gt;2.5% ถึง </t>
    </r>
    <r>
      <rPr>
        <u/>
        <sz val="12"/>
        <color theme="1"/>
        <rFont val="Browallia New"/>
        <family val="2"/>
      </rPr>
      <t>&lt;</t>
    </r>
    <r>
      <rPr>
        <sz val="12"/>
        <color theme="1"/>
        <rFont val="Browallia New"/>
        <family val="2"/>
      </rPr>
      <t>5%</t>
    </r>
  </si>
  <si>
    <t>&gt;5%</t>
  </si>
  <si>
    <t>(Net Profit)</t>
  </si>
  <si>
    <t>กำไรขั้นต่ำกว่าเป้าหมาย</t>
  </si>
  <si>
    <t>(EBITDA)</t>
  </si>
  <si>
    <t>ด้านการเงิน (Financial)</t>
  </si>
  <si>
    <t>รายได้ต่ำกว่าเป้าหมาย</t>
  </si>
  <si>
    <t>(Revenue)</t>
  </si>
  <si>
    <t>ค่าใช้จ่ายสูงกว่าเป้าหมาย</t>
  </si>
  <si>
    <t>(Expense)</t>
  </si>
  <si>
    <t>ผลตอบแทนการลงทุนต่ำกว่าเป้าหมาย</t>
  </si>
  <si>
    <r>
      <t xml:space="preserve">&lt; </t>
    </r>
    <r>
      <rPr>
        <sz val="12"/>
        <color theme="1"/>
        <rFont val="Browallia New"/>
        <family val="2"/>
      </rPr>
      <t xml:space="preserve">5% </t>
    </r>
  </si>
  <si>
    <r>
      <t xml:space="preserve">&gt;5% ถึง </t>
    </r>
    <r>
      <rPr>
        <u/>
        <sz val="12"/>
        <color theme="1"/>
        <rFont val="Browallia New"/>
        <family val="2"/>
      </rPr>
      <t>&lt;</t>
    </r>
    <r>
      <rPr>
        <sz val="12"/>
        <color theme="1"/>
        <rFont val="Browallia New"/>
        <family val="2"/>
      </rPr>
      <t>10%</t>
    </r>
  </si>
  <si>
    <r>
      <t xml:space="preserve">&gt;10% ถึง </t>
    </r>
    <r>
      <rPr>
        <u/>
        <sz val="12"/>
        <color theme="1"/>
        <rFont val="Browallia New"/>
        <family val="2"/>
      </rPr>
      <t>&lt;</t>
    </r>
    <r>
      <rPr>
        <sz val="12"/>
        <color theme="1"/>
        <rFont val="Browallia New"/>
        <family val="2"/>
      </rPr>
      <t>15%</t>
    </r>
  </si>
  <si>
    <t>&gt;15%</t>
  </si>
  <si>
    <t>(Project Return Equity IRR)</t>
  </si>
  <si>
    <t>จาก base case</t>
  </si>
  <si>
    <t>มูลค่าความเสียหายต่อการผลิตและเครื่องจักร/อุปกรณ์</t>
  </si>
  <si>
    <r>
      <t xml:space="preserve">&lt; </t>
    </r>
    <r>
      <rPr>
        <sz val="12"/>
        <color theme="1"/>
        <rFont val="Browallia New"/>
        <family val="2"/>
      </rPr>
      <t>75 ล้านบาท</t>
    </r>
  </si>
  <si>
    <r>
      <t xml:space="preserve">&gt;75 ถึง </t>
    </r>
    <r>
      <rPr>
        <u/>
        <sz val="12"/>
        <color theme="1"/>
        <rFont val="Browallia New"/>
        <family val="2"/>
      </rPr>
      <t>&lt;</t>
    </r>
    <r>
      <rPr>
        <sz val="12"/>
        <color theme="1"/>
        <rFont val="Browallia New"/>
        <family val="2"/>
      </rPr>
      <t>150 ล้านบาท</t>
    </r>
  </si>
  <si>
    <r>
      <t xml:space="preserve">&gt;150 ถึง </t>
    </r>
    <r>
      <rPr>
        <u/>
        <sz val="12"/>
        <color theme="1"/>
        <rFont val="Browallia New"/>
        <family val="2"/>
      </rPr>
      <t>&lt;</t>
    </r>
    <r>
      <rPr>
        <sz val="12"/>
        <color theme="1"/>
        <rFont val="Browallia New"/>
        <family val="2"/>
      </rPr>
      <t>300 ล้านบาท</t>
    </r>
  </si>
  <si>
    <t>&gt;300 ล้านบาท</t>
  </si>
  <si>
    <t>งบประมานลงทุนสูงกว่าที่ได้รับอนุมัติ</t>
  </si>
  <si>
    <r>
      <t xml:space="preserve">&lt; </t>
    </r>
    <r>
      <rPr>
        <sz val="12"/>
        <color theme="1"/>
        <rFont val="Browallia New"/>
        <family val="2"/>
      </rPr>
      <t xml:space="preserve">1.25% </t>
    </r>
  </si>
  <si>
    <t>(Project Cost Overrun)</t>
  </si>
  <si>
    <t>การปฏิบัติตามกฏหมาย/  กฏระเบียบ/  ข้อบังคับ</t>
  </si>
  <si>
    <t>ขัดต่อกฎหมาย กฎระเบียบของหน่วยงานภายนอกที่กำกับดูแล ซึ่งกระทบต่อการดำเนินงานของบริษัท แต่สามารถดำเนินการแก้ไขได้ทันที</t>
  </si>
  <si>
    <t>ขัดต่อกฎหมาย กฎระเบียบของหน่วยงานภายนอกที่กำกับดูแล โดยได้รับบทลงโทษตามกฎหมาย หรือต้องแก้ไขตามคำสั้่งของหน่วยงานภายนอกที่กำกับดูแล</t>
  </si>
  <si>
    <t>ขัดต่อกฎหมาย กฎระเบียบของหน่วยงานภายนอกที่กำกับดูแลโดยถูกเพิกถอนใบอนุญาตหรือถูกปิดกิจการ</t>
  </si>
  <si>
    <t>กฏหมาย   กฏระเบียบ ข้อบังคับ และสัญญา / ข้อตกลงระดับของการให้บริการ</t>
  </si>
  <si>
    <t>(Regulation)</t>
  </si>
  <si>
    <t>ข้อตกลงระดับของการให้บริการ</t>
  </si>
  <si>
    <t>ได้รับคำแจ้งเตือนจากลูกค้าและพิจารณาดำเนินการแก้ไข</t>
  </si>
  <si>
    <t>เริ่มดำเนินการแก้ไขภายใต้สัญญา</t>
  </si>
  <si>
    <t>ดำเนินการแก้ไขตามที่สัญญากำหนดไว้</t>
  </si>
  <si>
    <t>ไม่สามารถดำเนินการแก้ไขตามสัญญา ทำให้ลูกค้ายกเลิกสัญญา</t>
  </si>
  <si>
    <t>พนักงาน ลูกค้า คู่ค้า หรือผู้มีส่วนได้ส่วนเสียได้รับบาดเจ็บจนต้องได้รับการปฐมพาบาลทางการแพทย์ แต่ไม่หยุดงาน</t>
  </si>
  <si>
    <t>พนักงาน ลูกค้า คู่ค้า หรือผู้มีส่วนได้ส่วนเสียได้รับบาดเจ็บจนต้องได้รับการรักษาทางการแพทย์ (OPD) โดยไม่ต้องเข้าพักรักษาในโรงพยาบาล</t>
  </si>
  <si>
    <t xml:space="preserve">พนักงาน ลูกค้า คู่ค้า หรือผู้มีส่วนได้ส่วนเสียได้รับบาดเจ็บหนักจนต้องเข้ารับการรักษาในโรงพยาบาล (IPD) </t>
  </si>
  <si>
    <t>พนักงาน ลูกค้า คู่ค้า หรือผู้มีส่วนได้ส่วนเสียได้รับบาดเจ็บหนักจนทุพลภาพ หรือเสียชีวิต</t>
  </si>
  <si>
    <t>อาชีวอนามัยและ</t>
  </si>
  <si>
    <t xml:space="preserve">ความปลอดภัย </t>
  </si>
  <si>
    <t>ความปลอดภัย</t>
  </si>
  <si>
    <t>อาชีวอนามัยของบุคลากร</t>
  </si>
  <si>
    <t xml:space="preserve">(Occupational Health &amp; Safety) </t>
  </si>
  <si>
    <t>พนักงานเกิดความไม่พอใจ แต่สามารถแก้ไขได้ภายในหน่วยงาน</t>
  </si>
  <si>
    <t>พนักงานเกิดความไม่พอใจ และจำเป็นต้องอาศัยหน่วยงานกลาง (HR) ในการดำเนินการแก้ไข</t>
  </si>
  <si>
    <t>พนักงานเกิดความไม่พอใจสูง และเกิดดารร้องเรียนผ่านช่องทางภายในบริษัท</t>
  </si>
  <si>
    <t>พนักงานเกิดความไม่พอใจอย่างรุนแรง เช่นนัดหยุดงาน พนักงานลาออกจำนวนมากและส่งผลให้การดำเนินธุรกิจหยุดชะงักหรือเกิดข้อพิพาทจนต้องเข้าสู่กระบวนการทางกฏหมาย</t>
  </si>
  <si>
    <t>เกิดผลกระทบต่อส่งแวดล้อมในบริเวณข้างเคียงเล็กน้อย แก้ไขได้โดยไม่ต้องมีมาตรการดำเนินการแก้ไข</t>
  </si>
  <si>
    <r>
      <t xml:space="preserve">เกิดผลกระทบต่อสิ่งแวดล้อมโดยสามารถดำเนินการแก้ไขภายใน 1 วันหรือใช้ระยะเวลาฟื้นฟูให้กลับคืนสภาพได้ ภายในระยะเวลา </t>
    </r>
    <r>
      <rPr>
        <u/>
        <sz val="12"/>
        <color theme="1"/>
        <rFont val="Browallia New"/>
        <family val="2"/>
      </rPr>
      <t>&lt;</t>
    </r>
    <r>
      <rPr>
        <sz val="12"/>
        <color theme="1"/>
        <rFont val="Browallia New"/>
        <family val="2"/>
      </rPr>
      <t xml:space="preserve"> 1 ปี </t>
    </r>
  </si>
  <si>
    <t>เกิดผลกระทบต่อสิ่งแวดล้อมรุนแรงโดยสามารถดำเนินการแก้ไขในระยะเวลามากกว่า 1 วัน แต่ไม่เกิน 1 เดือนหรือใช้ระยะเวลาฟื้นฟูให้กลับคืนสภาพได้ ภายในระยะเวลา 1-5 ปี</t>
  </si>
  <si>
    <t>เกิดผลกระทบต่อสิ่งแวดล้อมรุนแรงมากโดยสามารถดำเนินการแก้ไขในระยะเวลามากกว่า 1 เดือน หรือใช้ระยะเวลามากกว่า 5 ปีขึ้นไป ในการบรรเทา ฟื้นฟู หรือเสียหายจนยากต่อการฟื้นฟู</t>
  </si>
  <si>
    <t>สิ่งแวดล้อม</t>
  </si>
  <si>
    <t>(Environment)</t>
  </si>
  <si>
    <t>ปริมาณการขายผลิตภัณฑ์ของ GPSC</t>
  </si>
  <si>
    <t>ลูกค้าที่ไม่ใช่ลูกค้าหลัก ลดการซื้อ ผลิตภัณฑ์/บริการ</t>
  </si>
  <si>
    <t>ลูกค้าที่ไม่ใช่ลูกค้าหลัก เลิกซื้อ ผลิตภัณฑ์/บริการ</t>
  </si>
  <si>
    <t>ลูกค้าหลัก ลดการซื้อ ผลิตภัณฑ์/บริการ</t>
  </si>
  <si>
    <t>ลูกค้าหลัก เลิกซื้อ ผลิตภัณฑ์/บริการ</t>
  </si>
  <si>
    <t>ลูกค้า คู่ค้า</t>
  </si>
  <si>
    <t>(Customer)</t>
  </si>
  <si>
    <t>ความพึงพอใจของลูกค้า คู่ค้า</t>
  </si>
  <si>
    <t>ไม่มีผลกระทบ</t>
  </si>
  <si>
    <t>ลูกค้า คู่ค้า แสดงความไม่พอใจร้องเรียนมาที่บริษัท</t>
  </si>
  <si>
    <t>ลูกค้าแสดงความไม่พอใจผ่านสื่อต่างๆ</t>
  </si>
  <si>
    <t>ลูกค้า คู่ค้า ฟ้องร้องบริษัท</t>
  </si>
  <si>
    <t>มีผลกระทบต่อกระบวนการผลิต กระบวนการดำเนินงานเล็กน้อย โดยอยู่ในระดับที่สามารถ ควบคุมและแก้ไขได้ด้วยตัวเอง</t>
  </si>
  <si>
    <t>มีผลกระทบต่อกระบวนการผลิต กระบวนการดำเนินงาน โดยอยู่ในระดับที่สามารถ ควบคุมและแก้ไขได้โดยหน่วยงานที่เกี่ยวข้อง</t>
  </si>
  <si>
    <t>ผลกระทบต่อกระบวนการผลิต กระบวนการดำเนินงาน โดยจำเป็นต้องหยุด ชะลอการดหเนินงานหลักบางส่วน</t>
  </si>
  <si>
    <t>ผลกระทบต่อกระบวนการผลิต กระบวนการดำเนินงานอย่างรุนแรง โดยส่งผลกระทบต่อการส่งมอบ ผลิตภัณฑ์แก่ลูกค้า / การดำเนินงานและเป้าหมายตามแผนงาน</t>
  </si>
  <si>
    <t>ผลิตภัณฑ์หรือ บริการ</t>
  </si>
  <si>
    <t>ไม่มีผลกระทบในการส่งมอบผลิตภัณฑ์/ บริการ</t>
  </si>
  <si>
    <t>เกิดความล่าช้าในการส่งมอบผลิตภัณฑ์ บริการ หรือ ผลิตภัณฑ์ /บริการ ไม่ได้คุณภาพตามข้อกำหนด</t>
  </si>
  <si>
    <t>ไม่สามารถส่งมอบผลิตภัณฑ์ บริการได้</t>
  </si>
  <si>
    <t>ไม่สามารถส่งมอบผลิตภัณฑ์ บริการได้ ซึ่งทางบริษัทมีค่าใช้จ่ายเพิ่ม หรือถูกเรียกร้องค่าเสียหาย</t>
  </si>
  <si>
    <t>กระบวนการทางธุรกิจ และการปฏิบัติการ</t>
  </si>
  <si>
    <t xml:space="preserve">ระยะเวลาการดำเนินโครงการล่าช้า </t>
  </si>
  <si>
    <t>(Operational)</t>
  </si>
  <si>
    <t>(ตั้งแต่ BOD Approval จนถึง COD)</t>
  </si>
  <si>
    <r>
      <t>&lt;</t>
    </r>
    <r>
      <rPr>
        <sz val="12"/>
        <color theme="1"/>
        <rFont val="Browallia New"/>
        <family val="2"/>
      </rPr>
      <t>3% จากแผนงานหรือ&lt;1เดือน</t>
    </r>
  </si>
  <si>
    <r>
      <t xml:space="preserve">3% &lt; X </t>
    </r>
    <r>
      <rPr>
        <u/>
        <sz val="12"/>
        <color theme="1"/>
        <rFont val="Browallia New"/>
        <family val="2"/>
      </rPr>
      <t>&lt;</t>
    </r>
    <r>
      <rPr>
        <sz val="12"/>
        <color theme="1"/>
        <rFont val="Browallia New"/>
        <family val="2"/>
      </rPr>
      <t>5% จากแผนงานหรือ&lt; 2เดือน</t>
    </r>
  </si>
  <si>
    <r>
      <t xml:space="preserve">5% &lt; X </t>
    </r>
    <r>
      <rPr>
        <u/>
        <sz val="12"/>
        <color theme="1"/>
        <rFont val="Browallia New"/>
        <family val="2"/>
      </rPr>
      <t>&lt;</t>
    </r>
    <r>
      <rPr>
        <sz val="12"/>
        <color theme="1"/>
        <rFont val="Browallia New"/>
        <family val="2"/>
      </rPr>
      <t>10% จากแผนงานหรือ&lt; 3เดือน</t>
    </r>
  </si>
  <si>
    <r>
      <t xml:space="preserve">ล่าช้าจากแผนงาน 10% หรือ </t>
    </r>
    <r>
      <rPr>
        <u/>
        <sz val="12"/>
        <color theme="1"/>
        <rFont val="Browallia New"/>
        <family val="2"/>
      </rPr>
      <t>&gt;</t>
    </r>
    <r>
      <rPr>
        <sz val="12"/>
        <color theme="1"/>
        <rFont val="Browallia New"/>
        <family val="2"/>
      </rPr>
      <t xml:space="preserve"> 3 เดือน</t>
    </r>
  </si>
  <si>
    <t>การกำกับดูแล</t>
  </si>
  <si>
    <t>ดำเนินงานเป็นไปตามแนวทาง/ นโยบาย GPSC โดยสามารถควบคุมได้</t>
  </si>
  <si>
    <t>ดำเนินงานเป็นไปตามแนวทาง/ นโยบาย GPSC โดยไม่สามารถควบคุมได้</t>
  </si>
  <si>
    <t>ไม่ดำเนินงานเตามแนวทาง/ นโยบาย ของGPSC</t>
  </si>
  <si>
    <t>ไม่ดำเนินงานเตามแนวทาง/ นโยบาย ของGPSC และส่งผลเสียหายต่อ GPSC</t>
  </si>
  <si>
    <t>ทำให้เกิดความไม่พอใจต่อสาธารณะ เช่นการเขียนบทความวิจารย์</t>
  </si>
  <si>
    <t>ทำให้เกิดความไม่พอใจอย่างมากต่อสาธารณะ เช่นการแสดงความเห็นคัดค้านผ่านสื่อต่างๆ</t>
  </si>
  <si>
    <t>ทำให้เกิดการต่อต้านรุนแรงจากสาธารณะ เช่นการประท้วงจากชุมชน</t>
  </si>
  <si>
    <t>ภาพลักษณ์ของ GPSC ต่อสาธารณะ สื่อ</t>
  </si>
  <si>
    <t>ชื่อเสียงภาพลักษณ์ต่อองค์กร</t>
  </si>
  <si>
    <t>(Image)</t>
  </si>
  <si>
    <t>มีผลกระทบต่อชุมชน รอบสถานประกอบการ โรงงานเล็กน้อย โดยได้รับคำติเตือนข้อครหาอย่างไม่เป็นทางการผ่านช่องทางต่างๆของบริษัท</t>
  </si>
  <si>
    <t>มีผลกระทบต่อชุมชน รอบสถานประกอบการโดยได้ข้อร้องเรียนเป็นลายลักษณ์อักษร</t>
  </si>
  <si>
    <t>มีผลกระทบต่อชุมชน รอบสถานประกอบการโดยได้ข้อร้องเรียนเป็นลายลักษณ์อักษรและถูกดำเนินการตรวจ สอบจากหน่วยงานกำกับดูแลจากภายนอก</t>
  </si>
  <si>
    <t>มีผลกระทบรุนแรงต่อชุมชนเป็นบริเวณกว้าง โดยได้รับคำสั่งหยุดการดำเนินการ หรือถูกประท้วงจากมวลชนจนไม่สามารถดำเนินธุรกิจได้</t>
  </si>
  <si>
    <t>ภาพลักษณ์ GPSC</t>
  </si>
  <si>
    <t>ต่อชุมชน</t>
  </si>
  <si>
    <t xml:space="preserve">1.ต่อและสลับแหล่งจ่ายไอน้ำของลูกค้า GPSC ไปรับยัง บริษัท Glow
</t>
  </si>
  <si>
    <r>
      <rPr>
        <sz val="12"/>
        <color rgb="FF000000"/>
        <rFont val="BrowalliaUPC"/>
        <family val="2"/>
      </rPr>
      <t xml:space="preserve">1.ต่อและสลับแหล่งจ่ายไอน้ำของลูกค้า GPSC ไปรับยัง บริษัท Glow
</t>
    </r>
  </si>
  <si>
    <t>SSHE</t>
  </si>
  <si>
    <t>Maintenance</t>
  </si>
  <si>
    <t>Operation</t>
  </si>
  <si>
    <t>1.ให้มีทีมซ่อมบำรุงชำนาญเฉพาะทาง ประสานงานกับทาง Vender และมีการเตรียมชิ้นส่วนอะไหล่ ตลอด24 ชม. เพื่อใช้งานและไม่ต้องเสียเวลาในการรอคอย ในขณะที่ตาม oncall 
2.ให้มีทีมซ่อมสายส่งของ Vender (Contactor)ตลอด24ชม.</t>
  </si>
  <si>
    <t>ICT</t>
  </si>
  <si>
    <t xml:space="preserve">1.ให้มีทีมซ่อมบำรุง และชิ้นส่วนอะไหล่ ตลอด24 ชม. เพื่อไม่ต้องเสียเวลาในการรอคอย ในขณะที่ตาม oncall 
2.ให้มีทีม ซ่อมสายส่ง ตลอด24ชม.
</t>
  </si>
  <si>
    <t>Jan</t>
  </si>
  <si>
    <t>Dec</t>
  </si>
  <si>
    <t>Engineering</t>
  </si>
  <si>
    <t xml:space="preserve">1.ศึกษาการจัดหาแหล่งไฟฟ้าสำรองในการ Start plant จากแหล่งอื่น เช่น Diesel GEN.
2.ศึกษาการเชื่อมต่อระบบกับ Glow ในการ Charge Back
</t>
  </si>
  <si>
    <r>
      <rPr>
        <sz val="12"/>
        <color rgb="FFFF0000"/>
        <rFont val="BrowalliaUPC"/>
        <family val="2"/>
      </rPr>
      <t>1.1จัดหาแหล่งน้ำxxx</t>
    </r>
    <r>
      <rPr>
        <sz val="12"/>
        <color theme="1"/>
        <rFont val="BrowalliaUPC"/>
        <family val="2"/>
      </rPr>
      <t xml:space="preserve">
2.1มีการตรวจสอบ รายวัน 
2.2มีทีมซ่อมบำรุง on call 24 hr
3.1มีการกำหนดแผนซ่อมบำรุงตามระยะเวลากำหนด
3.2มีสัญญาเข้าซ่อมบำรุงระบบ </t>
    </r>
  </si>
  <si>
    <t>1.ปริมาณสารเคมีไม่พอใช้งาน
 2.ถังกักเก็บสารเคมีชำรุดรั่วไหล</t>
  </si>
  <si>
    <r>
      <t xml:space="preserve">1.1มี On call ผู้จำหน่ายสารเคมี 
(12 ชม.)
1.2มีการควบคุมปริมาณขั้นต่ำ (Max-Min) สารเคมี
</t>
    </r>
    <r>
      <rPr>
        <sz val="12"/>
        <color rgb="FFFF0000"/>
        <rFont val="BrowalliaUPC"/>
        <family val="2"/>
      </rPr>
      <t>2.1มีกำหนดการตรวจสอบและซ่อมบำรุงถังxxxxx</t>
    </r>
  </si>
  <si>
    <t xml:space="preserve">1.ปริมาณน้ำมันเชื้อเพลิงไม่พอใช้งาน
</t>
  </si>
  <si>
    <t>1.มีระบบดับเพลิงเครื่องจักร 2 ตัวเพื่อช่วยในการดับเพลิง
2.มีการซ้อมแผนฉุกเฉินเป็นประจำทุกๆปี
3.มีการตรวจสอบอุปกรณ์เครื่องจักรตามแผนงานซ่อมบำรุงประจำปี</t>
  </si>
  <si>
    <r>
      <t xml:space="preserve">1.1มีการตรวจสอบ รายวัน 
1.2มีทีมซ่อมบำรุง on call 24 hr
2.1มีการกำหนดแผนซ่อมบำรุงตามระยะเวลากำหนด
2.2มีสัญญาเข้าซ่อมบำรุงระบบ    
</t>
    </r>
    <r>
      <rPr>
        <sz val="12"/>
        <rFont val="BrowalliaUPC"/>
        <family val="2"/>
      </rPr>
      <t>3.1มีระบบดับเพลิงเครื่องจักร 2 ตัวเพื่อช่วยในการดับเพลิง</t>
    </r>
  </si>
  <si>
    <t xml:space="preserve">1.1มีสัญญาการรับไฟฟ้าจากการไฟฟ้า
2.1จัดทำแผนซ่อมบำรุง อุปกรณ์ตามระยะเวลาที่กำหนด 
2.2มีทีม on call ซ่อมบำรุง  24 ชม.
</t>
  </si>
  <si>
    <t xml:space="preserve">1. การผลิตหยุดเนื่องจากไม่มีกระแสไฟฟ้า
2.การผลิตหยุดเนื่องจากไม่มีน้ำ
</t>
  </si>
  <si>
    <t>1.การผลิตหยุดชะงักเนื่องจากไม่มีกระแสไฟฟ้า
2.ไม่สามารถ Start กระบวนการผลิตได้กรณีที่สายส่ง EGAT/ PEA ชำรุดส่งผลให้ Plant Blackout</t>
  </si>
  <si>
    <t xml:space="preserve">1.ไม่สามารถผลิตน้ำ Demin  ได้เนื่องจากไม่มีกระแสไฟฟ้า
2.ปริมาณน้ำ Demin ไม่เพียงพอต่อการใช้งานในการบวนการผลิตและส่งให้ลูกค้าได้
</t>
  </si>
  <si>
    <t xml:space="preserve">1.1มีการติดตั้งระบบสำรองในการผลิตนำ Demin 4 units, Condensate 2 units.
1.2ระบบ Pump Neutralization มี 2 unit สามารถได้สลับกันได้กรณีอีกตัวเสีย
2.1มีระบบนำ RO เพิ่มอีก 2 units ในกระบวนการผลิตเพื่อช่วยผลิตน้ำได้
2.2รับน้ำ Demin จาก WHA </t>
  </si>
  <si>
    <t xml:space="preserve">1.1xxxxx
2.1xxxxx
</t>
  </si>
  <si>
    <r>
      <rPr>
        <sz val="12"/>
        <color rgb="FFFF0000"/>
        <rFont val="BrowalliaUPC"/>
        <family val="2"/>
      </rPr>
      <t>1.1xxx</t>
    </r>
    <r>
      <rPr>
        <sz val="12"/>
        <color theme="1"/>
        <rFont val="BrowalliaUPC"/>
        <family val="2"/>
      </rPr>
      <t xml:space="preserve">
2.1มีการตรวจสอบอุปกรณ์ป้องกัน โดยพนักงานเดินเครื่อง และสายส่งโดยทีมงานซ่อมบำรุง อย่างประจำ
2.2มีแผนการซ่อมบำรุงรักษาระบบส่งจ่ายไฟฟ้ารายปี
 มีแผนการตรวจสอบระบบส่งจ่ายไฟฟ้าตามระยะเวลาที่กำหนด
2.3มีทีมปฏิบัติการในกรณีฉุกเฉิน (on-call) ตลอด 24 ชม. สำหรับงานซ่อมเร่งด่วน
2.4จัดเตรียมสายไฟฟ้าสำรองไว้เปลี่ยนในกรณีเกิดเหตุฉุกเฉิน 
2.5 มีระบบควบคุมอัตโนมัติ (Emergency) และระบบป้องกันอุปกรณ์(Protection) เพื่อป้องกันเครื่องจักรเสียหาย </t>
    </r>
  </si>
  <si>
    <t xml:space="preserve">1.1ต่อระบบส่งจ่ายไอน้ำ CUP1,3,4 ให้เชื่อมโยงกัน เพื่อสลับและเพื่อส่งจ่ายให้กับลูกค้าได้หลายช่องทาง
1.2ติดตั้งอุปกรณ์ป้องกันความเสียหายที่มีโอกาสเกิดกับระบบเชื่อมต่อ
2.1มีแผนการซ่อมบำรุงรักษาระบบส่งจ่ายไอน้ำรายปี
2.2มีแผนการตรวจสอบระบบส่งจ่ายไอน้ำตามระยะเวลาที่กำหนด
2.3มีทีมปฏิบัติการในกรณีฉุกเฉิน (on-call) ตลอด 24 ชม. สำหรับงานซ่อมเร่งด่วน
2.4จัดเตรียม อะไหล่ที่ไว้ใช้ซ่อมท่อ ให้พร้อม พร้อมทีม ซ่อม online stop leak                               </t>
  </si>
  <si>
    <t xml:space="preserve">1.ไม่สามารถส่งกระแสไฟฟ้าให้กับลูกค้าได้
2. แรงดันของไอน้ำในระบบลดลง
</t>
  </si>
  <si>
    <t>1.Feeder เสียหายทำให้สูญเสียการจ่ายไฟให้กับลูกค้า
2.ไฟไหม้</t>
  </si>
  <si>
    <t>1.มาตรวัดอ่านค่าผิดทำให้เกิดข้อผิดพลาดของข้อมูล</t>
  </si>
  <si>
    <t>1.1มีการ Re-check โดยหัวหน้างาน และผู้เกี่ยวข้อง
1.2มีโปรแกรมคำนวณ</t>
  </si>
  <si>
    <t xml:space="preserve">1.ไม่มีกระแสไฟฟ้าจ่ายเข้าระบบ
2.ระบบ UPS failedและ หรือ ระบบ DCS failed     </t>
  </si>
  <si>
    <t>1.1มีระบบควบคุมเป็นแบบ ขนาน 2 ระบบ
2.1มีการตรวจสอบ PM ระบบ
2.2ในกรณีที่ระบบ failed จะมีการแจ้งเตือนและระบบ สำรองจะเข้ามาควบคุมแทน
2.3มี manual valve ที่หน้างาน
2.4มีby pass control valve ที่หน้างาน
2.5มีชำนาญการระบบ DCS vender oncall 24ชม.</t>
  </si>
  <si>
    <t>1. ไม่สามารถเดินระบบได้เนื่องจากไม่มีกระแสไฟฟ้า
2.การผลิตหยุดเนื่องจากไม่มีน้ำ</t>
  </si>
  <si>
    <t>1.ไม่มีกระแสไฟฟ้า
2.สายส่งไฟฟ้าชำรุดจึงไม่สามารถส่งกระแสไฟฟ้าให้กับลูกค้าได้</t>
  </si>
  <si>
    <r>
      <rPr>
        <sz val="12"/>
        <color rgb="FFFF0000"/>
        <rFont val="BrowalliaUPC"/>
        <family val="2"/>
      </rPr>
      <t xml:space="preserve">1.ไม่มีไอน้ำมายังท่อไอน้ำ
2. ท่อส่งไอน้ำชำรุด
</t>
    </r>
    <r>
      <rPr>
        <sz val="12"/>
        <color theme="1"/>
        <rFont val="BrowalliaUPC"/>
        <family val="2"/>
      </rPr>
      <t xml:space="preserve">
</t>
    </r>
  </si>
  <si>
    <t>1. การผลิตไอน้ำหยุดเนื่องจากไม่มีกระแสไฟฟ้า
2.การผลิตไอน้ำหยุดเนื่องจากไม่มีน้ำ
3.การผลิตไอน้ำหยุดเนื่องจากไม่มีเชื้อเพลิง
4.การผลิตไอน้ำหยุดเนื่องจากปริมาณสารเคมีไม่พอใช้งาน
5.ไม่สอดคล้องตามกฏหมาย ค่า Emission เกินมาตราฐาน เนื่องจากไม่มีสารเคมีใช้ในกระบวนการผลิต (No chemical)</t>
  </si>
  <si>
    <r>
      <rPr>
        <sz val="12"/>
        <color rgb="FFFF0000"/>
        <rFont val="BrowalliaUPC"/>
        <family val="2"/>
      </rPr>
      <t>1.1มีสัญญาการรับไฟฟ้าจากการไฟฟ้า</t>
    </r>
    <r>
      <rPr>
        <sz val="12"/>
        <color theme="1"/>
        <rFont val="BrowalliaUPC"/>
        <family val="2"/>
      </rPr>
      <t xml:space="preserve">
</t>
    </r>
    <r>
      <rPr>
        <sz val="12"/>
        <color rgb="FFFF0000"/>
        <rFont val="BrowalliaUPC"/>
        <family val="2"/>
      </rPr>
      <t>2.1xxxx
3.1xxxxx</t>
    </r>
    <r>
      <rPr>
        <sz val="12"/>
        <color theme="1"/>
        <rFont val="BrowalliaUPC"/>
        <family val="2"/>
      </rPr>
      <t xml:space="preserve">
</t>
    </r>
    <r>
      <rPr>
        <sz val="12"/>
        <color rgb="FFFF0000"/>
        <rFont val="BrowalliaUPC"/>
        <family val="2"/>
      </rPr>
      <t xml:space="preserve">4.1มี On call ผู้จำหน่ายสารเคมี 
(12 ชม.)
4.2มีการควบคุมปริมาณขั้นต่ำ (Max-Min) สารเคมี
</t>
    </r>
    <r>
      <rPr>
        <sz val="12"/>
        <color theme="1"/>
        <rFont val="BrowalliaUPC"/>
        <family val="2"/>
      </rPr>
      <t>5.1 มีระบบควบคุม Emission และระบบเตือนเมื่อค่าเกิดค่าที่ควบคุม</t>
    </r>
  </si>
  <si>
    <t>1.1มีแผนซ่อมบำรุงรักษาประจำปี/ ประจำเดือน
1.2มีทีมปฏิบัติการในกรณีฉุกเฉิน (on-call) ตลอด 24 ชม. สำหรับงานซ่อมเร่งด่วน
1.3มีการทำประกัน
1.4การจัดเตรียมอะไหล่ Spare part บางตัว (30%)
2.1มีระบบควบคุมอัตโนมัติ (Emergency) และระบบป้องกันอุปกรณ์(Protection)) เพื่อป้องกันเครื่องจักรเสียหาย 
2.2มีการจัดทำแผนตอบโต้ฉุกเฉิน ตาม Mitigation plan ภายในการเดิน</t>
  </si>
  <si>
    <t xml:space="preserve">1.ไม่มีน้ำในการส่ง
2.ท่อส่งน้ำชำรุดเนื่องจากอุบัติเหตุทางรถยนต์
</t>
  </si>
  <si>
    <t>1.ไม่มีไฟฟ้าเนื่องจากสายส่งขาด
2.ไม่มีไอน้ำเนื่องจากท่อส่งชำรุด
3.ไม่มีน้ำ demin เนื่องจากท่อน้ำชำรุด
4.ไฟไหม้</t>
  </si>
  <si>
    <t>28/09/2565</t>
  </si>
  <si>
    <t>1.Water loss
2.Steam loss
3.Power loss
4.NG loss
5.ไฟใหม้
6.Cyber attack
7.โรคระบาด</t>
  </si>
  <si>
    <t>Procedure / WI
P&amp;ID
Production plan
Single Line Diagram
Contract Agreement</t>
  </si>
  <si>
    <t>1.Emergency Control Center (ECC)
2.CCB</t>
  </si>
  <si>
    <t>คอมพิวเตอร์ 8
วิทยุสื่อสาร 13
โทรศัพท์มือถือ 1
โทรศัพท์ Plant 3
Hot Line 3</t>
  </si>
  <si>
    <t>วิทยุสื่อสาร 13
คอมพิวเตอร์ 8
โทรศัพท์ 4
ทีมซ่อมบำรุง และชิ้นส่วนอะไหล่ ตลอด 24 ชม.</t>
  </si>
  <si>
    <t>Operation 9 คน
Maintenance 4 คน
Safety 1 คน</t>
  </si>
  <si>
    <t>Operation 16 คน
Maintenance 4 คน
Safety 1 คน</t>
  </si>
  <si>
    <t>ระบบ VPN
Internet
PI</t>
  </si>
  <si>
    <t>ปตท.WHAPEAEGAT</t>
  </si>
  <si>
    <t>ปตท.
WHA
PEA
EGAT</t>
  </si>
  <si>
    <t>การประเมินความเสี่ยงด้านความต่อเนื่องทางธุรกิจ</t>
  </si>
  <si>
    <t xml:space="preserve">1.ปรับลดปริมาณการใช้น้ำในกระบวนการผลิต
2.พิจารณาหาแหล่งน้ำสำรอง เช่น รถขนส่งน้ำจากภายนอก
3.หาแหล่งน้ำดิบเพิ่มอีกแหล่ง เช่น จากบริษัท EAST WATER    </t>
  </si>
  <si>
    <r>
      <rPr>
        <sz val="12"/>
        <color rgb="FFFF0000"/>
        <rFont val="BrowalliaUPC"/>
        <family val="2"/>
      </rPr>
      <t>1.ไม่มีก๊าซหรือก๊าซไม่เพียงพอ</t>
    </r>
    <r>
      <rPr>
        <sz val="12"/>
        <color rgb="FF000000"/>
        <rFont val="BrowalliaUPC"/>
        <family val="2"/>
      </rPr>
      <t xml:space="preserve">
2.ท่อส่งเข้าระบบเสียหาย, อุปกรณ์ควบคุมใช้งานไม่ได้ 
3</t>
    </r>
    <r>
      <rPr>
        <sz val="12"/>
        <rFont val="BrowalliaUPC"/>
        <family val="2"/>
      </rPr>
      <t>.ไฟไหม้</t>
    </r>
  </si>
  <si>
    <t>1.จัดหาให้มีระบบน้ำมันเชื้อเพลิงสำรองเพิ่ม ในการใช้งาน
2.ติดต่อหน่วยงานที่เกี่ยวข้องเพื่อจัดเตรียมรถดับเพลิงในกรณีฉุกเฉิน (NPCS&amp;E)</t>
  </si>
  <si>
    <t>1.ไม่สามารถเดินเครื่องได้เนื่องจากไม่มีก๊าซทำให้ระบบเครื่องจักรการผลิตหยุดชะงัก</t>
  </si>
  <si>
    <t>1.1 มีแผนซ่อมบำรุงรักษาประจำปี/ ประจำเดือน
1.2 มีการติดตั้งอุปกรณ์สำรอง 
1.3 มีการจด log sheet เพื่อประเมินค่าของอุปกรณ์ว่าผิดปกติหรือไม่และ Visual check ขณะทำการจด log sheet</t>
  </si>
  <si>
    <t>1.1มีระบบ อัตโนมัติควบคุม 2 ตัวขึ้นไปในการใช้งานกระบวนการผลิต
1.2มีระบบ by pass
1.3มีระบบควบคุมอัตโนมัติ (Emergency) และระบบป้องกันอุปกรณ์(Protection)) เพื่อป้องกันเครื่องจักรเสียหาย 
1.4มีการติดตั้งอุปกรณ์สำรอง 
1.5มีแผนซ่อมบำรุงรักษาประจำปี/ ประจำเดือน
2.1มีการจด log sheet เพื่อประเมินค่าของอุปกรณ์ว่าผิดปกติหรือไม่และ Visual check ขณะทำการจด log sheet</t>
  </si>
  <si>
    <t>1.พิจารณาหาแหล่งน้ำสำรอง เช่น รถขนส่ง
2.จัดหาแหล่งน้ำสำรองจากแหล่งอื่นๆ เช่น เชื่อมระบบกับ Glow &amp; CUP3</t>
  </si>
  <si>
    <t>1.ให้มีทีมซ่อมบำรุง และชิ้นส่วนอะไหล่ ตลอด24 ชม. เพื่อไม่ต้องเสียเวลาในการรอคอย ในขณะที่ตาม oncall 
2.หาแหล่งน้ำอื่นๆเช่น BFW จาก CUP3 ส่งให้ลูกค้าแทนได้</t>
  </si>
  <si>
    <t>1.ให้มีทีมซ่อมบำรุง และชิ้นส่วนอะไหล่ ตลอด24 ชม. เพื่อไม่ต้องเสียเวลาในการรอคอย ในขณะที่ตาม oncall 
2.หาแหล่งไอน้ำอื่นๆ เช่น รับจาก CUP3,CUP4&amp;GLOW ส่งให้ลูกค้าแทนได้</t>
  </si>
  <si>
    <r>
      <rPr>
        <sz val="12"/>
        <color rgb="FFFF0000"/>
        <rFont val="BrowalliaUPC"/>
        <family val="2"/>
      </rPr>
      <t>1.1xxx
2.1xxx
3.1มีระบบควบคุมอัตโนมัติ (Emergency) และระบบป้องกันอุปกรณ์(Protection)) เพื่อป้องกันเครื่องจักรเสียหาย 
3.2มีการจัดทำแผนตอบโต้ฉุกเฉิน ตาม Mitigation plan ภายในการเดินเครื่อง
3.3มีแผนซ่อมบำรุงรักษาประจำปี/ ประจำเดือน
3.4มีแผนการตรวจสอบระบบเครื่องจักร ตามระยะเวลาที่กำหนด</t>
    </r>
  </si>
  <si>
    <t>1. การผลิตไฟฟ้าหยุดเนื่องจากไม่มีกระแสไฟฟ้า
2.การผลิตไฟฟ้าหยุดเนื่องจากไม่มีก๊าซ หรือก๊าซไม่เพียงพอ    
3.ไฟไหม้</t>
  </si>
  <si>
    <t>1.ให้มีทีมซ่อมบำรุง และชิ้นส่วนอะไหล่ ตลอด24 ชม. เพื่อไม่ต้องเสียเวลาในการรอคอย ในขณะที่ตาม oncall 
2.หาแหล่งไฟฟ้าอื่นๆ เช่น รับจาก PEA,CUP4&amp;GLOW ส่งให้ลูกค้าแทนได้</t>
  </si>
  <si>
    <t>1.1ต่อระบบส่งจ่ายน้ำ CUP1,3,4 ให้เชื่อมโยงกัน เพื่อสลับและเพื่อส่งจ่ายให้กับลูกค้าได้หลายช่องทาง
1.2ติดตั้งอุปกรณ์ป้องกันความเสียหายที่มีโอกาสเกิดกับระบบเชื่อมต่อ
2.1มีแผนการซ่อมบำรุงรักษาระบบส่งจ่ายน้ำรายปี
2.2มีแผนการตรวจสอบระบบส่งจ่ายน้ำตามระยะเวลาที่กำหนด
2.3มีทีมปฏิบัติการในกรณีฉุกเฉิน (on-call) ตลอด 24 ชม. สำหรับงานซ่อมเร่งด่วน
2.4จัดเตรียม อะไหล่ที่ไว้ใช้ซ่อมท่อ ให้พร้อม พร้อมทีม ซ่อม online stop leak</t>
  </si>
  <si>
    <t>3.1มีการติดตั้งระบบสำรองในการผลิตนำ Demin 4 units, Condensate 2 units.
4.1มีระบบควบคุมอัตโนมัติ (Emergency) และระบบป้องกันอุปกรณ์(Protection)) เพื่อป้องกันเครื่องจักรเสียหาย 
4.2มีการจัดทำแผนตอบโต้ฉุกเฉิน ตาม Mitigation plan ภายในการเดินเครื่อง
4.3มีแผนซ่อมบำรุงรักษาประจำปี/ ประจำเดือน</t>
  </si>
  <si>
    <r>
      <t xml:space="preserve">1. มีการติดตามสถานการณ์น้ำอยู่เสมอ
2. ประเมินสถานการณ์น้ำ เพื่อกรณีสุดวิสัยจำเป็นต้อง Shutdown ระบบ 
3.มีถังเก็บกักน้ำสำรอง เพื่อเก็บไว้ใช้
4. แจ้งลูกค้าหากไม่สามารถจ่ายน้ำ เพื่อลดการใช้น้ำ
</t>
    </r>
    <r>
      <rPr>
        <sz val="12"/>
        <color rgb="FFFF0000"/>
        <rFont val="BrowalliaUPC"/>
        <family val="2"/>
      </rPr>
      <t>5.ต่อท่อระบบน้ำCUP1-CUP3--GLOW ให้เป็นระบบเครือข่าย</t>
    </r>
  </si>
  <si>
    <t>1. ไม่สามารถผลิตกระแสไฟฟ้าได้
2. ไม่สามารถผลิตน้ำอุตสาหกรรม ใช้ในกระบวนการผลิตไอน้ำ และไฟฟ้า และส่งให้กับลูกค้าได้
3. สูญเสียรายได้</t>
  </si>
  <si>
    <t>1. ติดตามสถานการณ์ คุณภาพและปริมาณ ก๊าซธรรมชาติ ผ่าน SMS
2. แจ้ง PTT เพื่อใช้มาตราการแผนสำรองปริมาณ LNG ที่ PTT. เตรียมการไว้
3. ติดต่อ PTT เพื่อให้ช่วยจัดส่งก๊าซธรรมชาติอย่างเร่งด่วน
4. ดำเนินการซ่อมโดยทีม PTT</t>
  </si>
  <si>
    <t xml:space="preserve">1.ปรับลดปริมาณการใช้น้ำในกระบวนการผลิต
2.พิจารณาหาแหล่งน้ำสำรอง เช่น รถขนส่งน้ำจากภายนอก
3.หาแหล่งน้ำดิบเพิ่มอีกแหล่ง เช่น จากบริษัท EAST WATER         
</t>
  </si>
  <si>
    <r>
      <t xml:space="preserve">1.ทำสัญญา NPC S&amp;E ในการจัดจ้าง รปภ. เป็น Fireman และรถดับเพลิงในกรณีฉุกเฉิน
</t>
    </r>
    <r>
      <rPr>
        <sz val="12"/>
        <color rgb="FFFF0000"/>
        <rFont val="BrowalliaUPC"/>
        <family val="2"/>
      </rPr>
      <t>2.มีผู้ชำนาญการเรื่องการดับเพลิง ประจำบริษัท เพื่อแนะนำและจัดฝึกอบรมภายใน</t>
    </r>
  </si>
  <si>
    <t>1.ให้มีทีมซ่อมบำรุงชำนาญเฉพาะทาง ประสานงานกับทาง Vender และมีการเตรียมชิ้นส่วนอะไหล่ ตลอด24 ชม. เพื่อใช้งานและไม่ต้องเสียเวลาในการรอคอย ในขณะที่ตาม oncall
2.ให้มีทีมซ่อมสายส่งของ Vender (Contactor)ตลอด24ชม.</t>
  </si>
  <si>
    <t>1.ให้มีทีมซ่อมบำรุงชำนาญเฉพาะทาง ประสานงานกับทาง Vender และมีการเตรียมชิ้นส่วนอะไหล่ ตลอด24 ชม. เพื่อใช้งานและไม่ต้องเสียเวลาในการรอคอย ในขณะที่ตาม oncall 
2.ให้มีทีมซ่อมสายส่งของ Vender (Contactor) ตลอด24ชม.</t>
  </si>
  <si>
    <t xml:space="preserve">1.ไม่สามารถส่งกระแสไฟฟ้าให้กับลูกค้าได้
2. แรงดันของไอน้ำในระบบลดลง
</t>
  </si>
  <si>
    <t>O&amp;M</t>
  </si>
  <si>
    <t xml:space="preserve">1.ให้มีทีมซ่อมบำรุง และชิ้นส่วนอะไหล่ ตลอด24 ชม. เพื่อไม่ต้องเสียเวลาในการรอคอย ในขณะที่ตาม oncall 
2.จัดทีมคณะทำงานลดการเกิด Incident เรื่อง Trip reduction </t>
  </si>
  <si>
    <t xml:space="preserve">1.ให้มีทีมซ่อมบำรุง และชิ้นส่วนอะไหล่ ตลอด24 ชม. เพื่อไม่ต้องเสียเวลาในการรอคอย ในขณะที่ตาม oncall
 2.จัดทีมคณะทำงานลดการเกิด Incident เรื่อง Trip reduction </t>
  </si>
  <si>
    <t xml:space="preserve">1.ถังกักเก็บน้ำชำรุดรั่วไหล
</t>
  </si>
  <si>
    <t xml:space="preserve">1.1จัดหาแหล่งน้ำสำรองจากแหล่งอื่นๆ เช่น WHA 
1.2 จัดหาแหล่งน้ำสำรองจากแหล่งอื่นๆ เช่นเชื่อมระบบกับ Glow  &amp; CUP3
        </t>
  </si>
  <si>
    <t xml:space="preserve">3.อุปกรณ์ควบคุมใช้งานไม่ได้
</t>
  </si>
  <si>
    <t xml:space="preserve">2.ท่อส่งเข้าระบบเสียหาย
</t>
  </si>
  <si>
    <t xml:space="preserve">3.1มีการกำหนดแผนซ่อมบำรุงตามระยะเวลากำหนด
3.2มีสัญญาเข้าซ่อมบำรุงระบบ         </t>
  </si>
  <si>
    <t xml:space="preserve">2.1 มีการตรวจสอบ รายวัน 
2.2มีทีมซ่อมบำรุง on call 24 hr
      </t>
  </si>
  <si>
    <t>Sub-Dimension</t>
  </si>
  <si>
    <t xml:space="preserve"> </t>
  </si>
  <si>
    <t xml:space="preserve">Impact Category
</t>
  </si>
  <si>
    <t xml:space="preserve"> Product &amp; Service
</t>
  </si>
  <si>
    <t>Financial impact (level)</t>
  </si>
  <si>
    <t xml:space="preserve"> Serverity over time (scores)</t>
  </si>
  <si>
    <t>การเงิน</t>
  </si>
  <si>
    <t>7.เดินเครื่องระบบ BOP (Cooling, Air Compressor )</t>
  </si>
  <si>
    <t>1.ถังกักเก็บน้ำชำรุดรั่วไหล
2.ท่อส่งเข้าระบบเสียหาย
3.อุปกรณ์ควบคุมใช้งานไม่ได้</t>
  </si>
  <si>
    <t>Severity overtime scores</t>
  </si>
  <si>
    <t xml:space="preserve">1.1จัดหาแหล่งน้ำสำรองจากแหล่งอื่นๆ เช่น WHA 
1.2 จัดหาแหล่งน้ำสำรองจากแหล่งอื่นๆ เช่นเชื่อมระบบกับ Glow  &amp; CUP3      2.1มีการตรวจสอบ รายวัน 
2.2มีทีมซ่อมบำรุง on call 24 hr
3.1มีการกำหนดแผนซ่อมบำรุงตามระยะเวลากำหนด
3.2มีสัญญาเข้าซ่อมบำรุงระบบ </t>
  </si>
  <si>
    <t>Existing Control Scores</t>
  </si>
  <si>
    <t>Possible Risk Scores</t>
  </si>
  <si>
    <t>Mitigation Scores</t>
  </si>
  <si>
    <t>Prevention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</si>
</sst>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70000]d/m/yy;@"/>
    <numFmt numFmtId="165" formatCode="B1mmm\-yy"/>
    <numFmt numFmtId="166" formatCode="B1d\-mmm"/>
  </numFmts>
  <fonts count="77">
    <font>
      <sz val="11"/>
      <color theme="1"/>
      <name val="Calibri"/>
      <family val="2"/>
      <charset val="222"/>
      <scheme val="minor"/>
    </font>
    <font>
      <sz val="11"/>
      <color theme="1"/>
      <name val="BrowalliaUPC"/>
      <family val="2"/>
    </font>
    <font>
      <b/>
      <sz val="18"/>
      <color indexed="8"/>
      <name val="Tahoma"/>
      <family val="2"/>
    </font>
    <font>
      <b/>
      <sz val="10"/>
      <name val="Tahoma"/>
      <family val="2"/>
    </font>
    <font>
      <b/>
      <sz val="10"/>
      <name val="BrowalliaUPC"/>
      <family val="2"/>
    </font>
    <font>
      <sz val="10"/>
      <color theme="1"/>
      <name val="BrowalliaUPC"/>
      <family val="2"/>
    </font>
    <font>
      <sz val="11"/>
      <color indexed="81"/>
      <name val="BrowalliaUPC"/>
      <family val="2"/>
    </font>
    <font>
      <sz val="8"/>
      <color theme="1"/>
      <name val="BrowalliaUPC"/>
      <family val="2"/>
    </font>
    <font>
      <b/>
      <sz val="9"/>
      <color indexed="81"/>
      <name val="BrowalliaUPC"/>
      <family val="2"/>
    </font>
    <font>
      <sz val="9"/>
      <color indexed="81"/>
      <name val="BrowalliaUPC"/>
      <family val="2"/>
    </font>
    <font>
      <b/>
      <sz val="8"/>
      <color indexed="81"/>
      <name val="BrowalliaUPC"/>
      <family val="2"/>
    </font>
    <font>
      <b/>
      <sz val="12"/>
      <color theme="1"/>
      <name val="BrowalliaUPC"/>
      <family val="2"/>
    </font>
    <font>
      <b/>
      <sz val="14"/>
      <color theme="1"/>
      <name val="BrowalliaUPC"/>
      <family val="2"/>
    </font>
    <font>
      <b/>
      <sz val="10"/>
      <color theme="1"/>
      <name val="BrowalliaUPC"/>
      <family val="2"/>
    </font>
    <font>
      <sz val="11"/>
      <color theme="1"/>
      <name val="Calibri"/>
      <family val="2"/>
      <scheme val="minor"/>
    </font>
    <font>
      <sz val="12"/>
      <color theme="1"/>
      <name val="BrowalliaUPC"/>
      <family val="2"/>
    </font>
    <font>
      <sz val="14"/>
      <color theme="1"/>
      <name val="BrowalliaUPC"/>
      <family val="2"/>
    </font>
    <font>
      <b/>
      <u/>
      <sz val="22"/>
      <color theme="1"/>
      <name val="Tahoma"/>
      <family val="2"/>
    </font>
    <font>
      <sz val="11"/>
      <color theme="1"/>
      <name val="Tahoma"/>
      <family val="2"/>
    </font>
    <font>
      <sz val="11"/>
      <color rgb="FFFF0000"/>
      <name val="Tahoma"/>
      <family val="2"/>
    </font>
    <font>
      <b/>
      <sz val="11"/>
      <color theme="1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i/>
      <sz val="11"/>
      <color rgb="FFC00000"/>
      <name val="Tahoma"/>
      <family val="2"/>
    </font>
    <font>
      <b/>
      <sz val="12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color rgb="FF000000"/>
      <name val="Tahoma"/>
      <family val="2"/>
    </font>
    <font>
      <b/>
      <sz val="12"/>
      <name val="Tahoma"/>
      <family val="2"/>
    </font>
    <font>
      <u/>
      <sz val="12"/>
      <color theme="1"/>
      <name val="Tahoma"/>
      <family val="2"/>
    </font>
    <font>
      <b/>
      <sz val="11"/>
      <color theme="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sz val="10"/>
      <color rgb="FFFF0000"/>
      <name val="Tahoma"/>
      <family val="2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Tahoma"/>
      <family val="2"/>
    </font>
    <font>
      <sz val="12"/>
      <name val="Tahoma"/>
      <family val="2"/>
    </font>
    <font>
      <strike/>
      <sz val="10"/>
      <color rgb="FFFF0000"/>
      <name val="Tahoma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BrowalliaUPC"/>
      <family val="2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0"/>
      <name val="BrowalliaUP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name val="BrowalliaUPC"/>
      <family val="2"/>
    </font>
    <font>
      <sz val="11"/>
      <name val="BrowalliaUPC"/>
      <family val="2"/>
    </font>
    <font>
      <b/>
      <sz val="11"/>
      <name val="BrowalliaUPC"/>
      <family val="2"/>
    </font>
    <font>
      <sz val="12"/>
      <name val="Browallia New"/>
      <family val="2"/>
    </font>
    <font>
      <b/>
      <sz val="14"/>
      <name val="BrowalliaUPC"/>
      <family val="2"/>
    </font>
    <font>
      <sz val="11"/>
      <name val="Calibri"/>
      <family val="2"/>
      <charset val="222"/>
      <scheme val="minor"/>
    </font>
    <font>
      <sz val="8"/>
      <name val="BrowalliaUPC"/>
      <family val="2"/>
    </font>
    <font>
      <sz val="14"/>
      <name val="BrowalliaUPC"/>
      <family val="2"/>
    </font>
    <font>
      <sz val="12"/>
      <name val="BrowalliaUPC"/>
      <family val="2"/>
    </font>
    <font>
      <sz val="10"/>
      <color rgb="FFFF0000"/>
      <name val="BrowalliaUPC"/>
      <family val="2"/>
    </font>
    <font>
      <sz val="16"/>
      <color theme="1"/>
      <name val="Calibri"/>
      <family val="2"/>
      <charset val="222"/>
      <scheme val="minor"/>
    </font>
    <font>
      <b/>
      <sz val="14"/>
      <color theme="1"/>
      <name val="Browallia New"/>
      <family val="2"/>
    </font>
    <font>
      <sz val="12"/>
      <color rgb="FF000000"/>
      <name val="Browallia New"/>
      <family val="2"/>
    </font>
    <font>
      <sz val="14"/>
      <color rgb="FF000000"/>
      <name val="Browallia New"/>
      <family val="2"/>
    </font>
    <font>
      <sz val="11"/>
      <color theme="1"/>
      <name val="Calibri"/>
      <family val="2"/>
    </font>
    <font>
      <sz val="14"/>
      <color theme="1"/>
      <name val="Browallia New"/>
      <family val="2"/>
    </font>
    <font>
      <sz val="12"/>
      <color theme="1"/>
      <name val="Browallia New"/>
      <family val="2"/>
    </font>
    <font>
      <u/>
      <sz val="12"/>
      <color theme="1"/>
      <name val="Browallia New"/>
      <family val="2"/>
    </font>
    <font>
      <sz val="11"/>
      <color theme="1"/>
      <name val="Browallia New"/>
      <family val="2"/>
    </font>
    <font>
      <sz val="11"/>
      <color rgb="FF000000"/>
      <name val="Browallia New"/>
      <family val="2"/>
    </font>
    <font>
      <sz val="8"/>
      <name val="Calibri"/>
      <family val="2"/>
      <charset val="222"/>
      <scheme val="minor"/>
    </font>
    <font>
      <sz val="12"/>
      <color rgb="FF000000"/>
      <name val="BrowalliaUPC"/>
      <family val="2"/>
    </font>
    <font>
      <sz val="12"/>
      <color rgb="FFFF0000"/>
      <name val="BrowalliaUPC"/>
      <family val="2"/>
    </font>
    <font>
      <sz val="10"/>
      <color theme="1"/>
      <name val="Calibri"/>
      <family val="2"/>
      <charset val="222"/>
      <scheme val="minor"/>
    </font>
    <font>
      <b/>
      <sz val="12"/>
      <name val="BrowalliaUPC"/>
      <family val="2"/>
    </font>
    <font>
      <sz val="12"/>
      <color theme="1"/>
      <name val="Calibri"/>
      <family val="2"/>
      <charset val="222"/>
      <scheme val="minor"/>
    </font>
    <font>
      <sz val="11"/>
      <name val="Browallia New"/>
      <family val="2"/>
    </font>
    <font>
      <b/>
      <sz val="12"/>
      <color theme="0"/>
      <name val="BrowalliaUPC"/>
      <family val="2"/>
    </font>
    <font>
      <b/>
      <sz val="10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4">
    <xf numFmtId="0" fontId="0" fillId="0" borderId="0"/>
    <xf numFmtId="0" fontId="14" fillId="0" borderId="0"/>
    <xf numFmtId="9" fontId="43" fillId="0" borderId="0" applyFont="0" applyFill="0" applyBorder="0" applyAlignment="0" applyProtection="0"/>
    <xf numFmtId="0" fontId="44" fillId="0" borderId="0"/>
  </cellStyleXfs>
  <cellXfs count="50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5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13" fillId="0" borderId="0" xfId="0" applyFont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8" fillId="0" borderId="0" xfId="1" applyFont="1"/>
    <xf numFmtId="0" fontId="19" fillId="6" borderId="0" xfId="1" applyFont="1" applyFill="1" applyAlignment="1">
      <alignment horizontal="center" vertical="center" wrapText="1"/>
    </xf>
    <xf numFmtId="0" fontId="20" fillId="6" borderId="0" xfId="1" applyFont="1" applyFill="1"/>
    <xf numFmtId="0" fontId="21" fillId="6" borderId="0" xfId="1" applyFont="1" applyFill="1" applyAlignment="1">
      <alignment horizontal="left" vertical="center" wrapText="1"/>
    </xf>
    <xf numFmtId="0" fontId="22" fillId="6" borderId="0" xfId="1" applyFont="1" applyFill="1" applyAlignment="1">
      <alignment horizontal="right" vertical="center" wrapText="1"/>
    </xf>
    <xf numFmtId="0" fontId="23" fillId="6" borderId="0" xfId="1" applyFont="1" applyFill="1" applyAlignment="1">
      <alignment horizontal="left"/>
    </xf>
    <xf numFmtId="0" fontId="26" fillId="0" borderId="0" xfId="1" applyFont="1"/>
    <xf numFmtId="0" fontId="26" fillId="0" borderId="31" xfId="1" applyFont="1" applyBorder="1" applyAlignment="1">
      <alignment horizontal="center" vertical="center"/>
    </xf>
    <xf numFmtId="0" fontId="29" fillId="0" borderId="0" xfId="1" applyFont="1" applyAlignment="1">
      <alignment horizontal="center" vertical="center" wrapText="1"/>
    </xf>
    <xf numFmtId="0" fontId="29" fillId="0" borderId="31" xfId="1" applyFont="1" applyBorder="1" applyAlignment="1">
      <alignment horizontal="center" vertical="center" wrapText="1"/>
    </xf>
    <xf numFmtId="0" fontId="29" fillId="0" borderId="32" xfId="1" applyFont="1" applyBorder="1" applyAlignment="1">
      <alignment horizontal="center" vertical="center"/>
    </xf>
    <xf numFmtId="1" fontId="26" fillId="0" borderId="0" xfId="1" applyNumberFormat="1" applyFont="1"/>
    <xf numFmtId="0" fontId="18" fillId="16" borderId="15" xfId="1" applyFont="1" applyFill="1" applyBorder="1" applyAlignment="1">
      <alignment horizontal="center" vertical="center" wrapText="1"/>
    </xf>
    <xf numFmtId="0" fontId="26" fillId="16" borderId="20" xfId="1" applyFont="1" applyFill="1" applyBorder="1" applyAlignment="1">
      <alignment horizontal="center" vertical="center" wrapText="1"/>
    </xf>
    <xf numFmtId="0" fontId="26" fillId="16" borderId="15" xfId="1" applyFont="1" applyFill="1" applyBorder="1" applyAlignment="1">
      <alignment horizontal="center" vertical="center" wrapText="1"/>
    </xf>
    <xf numFmtId="1" fontId="26" fillId="0" borderId="0" xfId="1" applyNumberFormat="1" applyFont="1" applyAlignment="1">
      <alignment wrapText="1"/>
    </xf>
    <xf numFmtId="0" fontId="26" fillId="0" borderId="0" xfId="1" applyFont="1" applyAlignment="1">
      <alignment wrapText="1"/>
    </xf>
    <xf numFmtId="0" fontId="18" fillId="6" borderId="0" xfId="1" applyFont="1" applyFill="1"/>
    <xf numFmtId="1" fontId="18" fillId="0" borderId="0" xfId="1" applyNumberFormat="1" applyFont="1"/>
    <xf numFmtId="0" fontId="31" fillId="12" borderId="29" xfId="1" applyFont="1" applyFill="1" applyBorder="1" applyAlignment="1">
      <alignment horizontal="center" vertical="center" wrapText="1"/>
    </xf>
    <xf numFmtId="0" fontId="31" fillId="13" borderId="15" xfId="1" applyFont="1" applyFill="1" applyBorder="1" applyAlignment="1">
      <alignment horizontal="center" vertical="center" wrapText="1"/>
    </xf>
    <xf numFmtId="0" fontId="31" fillId="14" borderId="20" xfId="1" applyFont="1" applyFill="1" applyBorder="1" applyAlignment="1">
      <alignment horizontal="center" vertical="center" wrapText="1"/>
    </xf>
    <xf numFmtId="0" fontId="31" fillId="15" borderId="15" xfId="1" applyFont="1" applyFill="1" applyBorder="1" applyAlignment="1">
      <alignment horizontal="center" vertical="center" wrapText="1"/>
    </xf>
    <xf numFmtId="0" fontId="32" fillId="16" borderId="33" xfId="1" applyFont="1" applyFill="1" applyBorder="1" applyAlignment="1">
      <alignment horizontal="left" vertical="center" wrapText="1"/>
    </xf>
    <xf numFmtId="0" fontId="33" fillId="16" borderId="34" xfId="1" applyFont="1" applyFill="1" applyBorder="1" applyAlignment="1">
      <alignment horizontal="center" vertical="center" wrapText="1"/>
    </xf>
    <xf numFmtId="0" fontId="32" fillId="16" borderId="33" xfId="1" applyFont="1" applyFill="1" applyBorder="1" applyAlignment="1">
      <alignment horizontal="center" vertical="center" wrapText="1"/>
    </xf>
    <xf numFmtId="0" fontId="32" fillId="16" borderId="17" xfId="1" applyFont="1" applyFill="1" applyBorder="1" applyAlignment="1">
      <alignment horizontal="center" vertical="center" wrapText="1"/>
    </xf>
    <xf numFmtId="0" fontId="32" fillId="16" borderId="36" xfId="1" applyFont="1" applyFill="1" applyBorder="1" applyAlignment="1">
      <alignment horizontal="left" vertical="center" wrapText="1"/>
    </xf>
    <xf numFmtId="0" fontId="33" fillId="16" borderId="37" xfId="1" applyFont="1" applyFill="1" applyBorder="1" applyAlignment="1">
      <alignment horizontal="center" vertical="center" wrapText="1"/>
    </xf>
    <xf numFmtId="0" fontId="32" fillId="16" borderId="36" xfId="1" applyFont="1" applyFill="1" applyBorder="1" applyAlignment="1">
      <alignment horizontal="center" vertical="center" wrapText="1"/>
    </xf>
    <xf numFmtId="0" fontId="32" fillId="16" borderId="25" xfId="1" applyFont="1" applyFill="1" applyBorder="1" applyAlignment="1">
      <alignment horizontal="center" vertical="center" wrapText="1"/>
    </xf>
    <xf numFmtId="0" fontId="32" fillId="16" borderId="38" xfId="1" applyFont="1" applyFill="1" applyBorder="1" applyAlignment="1">
      <alignment horizontal="left" vertical="center" wrapText="1"/>
    </xf>
    <xf numFmtId="0" fontId="33" fillId="16" borderId="39" xfId="1" applyFont="1" applyFill="1" applyBorder="1" applyAlignment="1">
      <alignment horizontal="center" vertical="center" wrapText="1"/>
    </xf>
    <xf numFmtId="0" fontId="32" fillId="16" borderId="38" xfId="1" applyFont="1" applyFill="1" applyBorder="1" applyAlignment="1">
      <alignment horizontal="center" vertical="center" wrapText="1"/>
    </xf>
    <xf numFmtId="0" fontId="32" fillId="16" borderId="40" xfId="1" applyFont="1" applyFill="1" applyBorder="1" applyAlignment="1">
      <alignment horizontal="center" vertical="center" wrapText="1"/>
    </xf>
    <xf numFmtId="0" fontId="32" fillId="0" borderId="41" xfId="1" applyFont="1" applyBorder="1" applyAlignment="1">
      <alignment horizontal="left" vertical="top" wrapText="1"/>
    </xf>
    <xf numFmtId="0" fontId="32" fillId="0" borderId="34" xfId="1" applyFont="1" applyBorder="1" applyAlignment="1">
      <alignment horizontal="left" vertical="top" wrapText="1"/>
    </xf>
    <xf numFmtId="0" fontId="32" fillId="0" borderId="33" xfId="1" applyFont="1" applyBorder="1" applyAlignment="1">
      <alignment horizontal="left" vertical="top" wrapText="1"/>
    </xf>
    <xf numFmtId="0" fontId="32" fillId="0" borderId="17" xfId="1" applyFont="1" applyBorder="1" applyAlignment="1">
      <alignment horizontal="left" vertical="top" wrapText="1"/>
    </xf>
    <xf numFmtId="0" fontId="32" fillId="0" borderId="36" xfId="1" applyFont="1" applyBorder="1" applyAlignment="1">
      <alignment horizontal="left" vertical="top" wrapText="1"/>
    </xf>
    <xf numFmtId="0" fontId="32" fillId="0" borderId="37" xfId="1" applyFont="1" applyBorder="1" applyAlignment="1">
      <alignment horizontal="left" vertical="top" wrapText="1"/>
    </xf>
    <xf numFmtId="0" fontId="32" fillId="0" borderId="25" xfId="1" applyFont="1" applyBorder="1" applyAlignment="1">
      <alignment horizontal="left" vertical="top" wrapText="1"/>
    </xf>
    <xf numFmtId="0" fontId="32" fillId="0" borderId="38" xfId="1" applyFont="1" applyBorder="1" applyAlignment="1">
      <alignment horizontal="left" vertical="top" wrapText="1"/>
    </xf>
    <xf numFmtId="0" fontId="32" fillId="0" borderId="39" xfId="1" applyFont="1" applyBorder="1" applyAlignment="1">
      <alignment horizontal="left" vertical="top" wrapText="1"/>
    </xf>
    <xf numFmtId="0" fontId="32" fillId="0" borderId="40" xfId="1" applyFont="1" applyBorder="1" applyAlignment="1">
      <alignment horizontal="left" vertical="top" wrapText="1"/>
    </xf>
    <xf numFmtId="0" fontId="32" fillId="16" borderId="34" xfId="1" applyFont="1" applyFill="1" applyBorder="1" applyAlignment="1">
      <alignment horizontal="left" vertical="center" wrapText="1"/>
    </xf>
    <xf numFmtId="0" fontId="32" fillId="16" borderId="17" xfId="1" applyFont="1" applyFill="1" applyBorder="1" applyAlignment="1">
      <alignment horizontal="left" vertical="center" wrapText="1"/>
    </xf>
    <xf numFmtId="0" fontId="32" fillId="16" borderId="42" xfId="1" applyFont="1" applyFill="1" applyBorder="1" applyAlignment="1">
      <alignment horizontal="left" vertical="center" wrapText="1"/>
    </xf>
    <xf numFmtId="0" fontId="32" fillId="16" borderId="43" xfId="1" applyFont="1" applyFill="1" applyBorder="1" applyAlignment="1">
      <alignment horizontal="left" vertical="center" wrapText="1"/>
    </xf>
    <xf numFmtId="0" fontId="32" fillId="16" borderId="25" xfId="1" applyFont="1" applyFill="1" applyBorder="1" applyAlignment="1">
      <alignment horizontal="left" vertical="center" wrapText="1"/>
    </xf>
    <xf numFmtId="0" fontId="35" fillId="16" borderId="42" xfId="1" applyFont="1" applyFill="1" applyBorder="1" applyAlignment="1">
      <alignment horizontal="left" vertical="center" wrapText="1"/>
    </xf>
    <xf numFmtId="0" fontId="35" fillId="16" borderId="43" xfId="1" applyFont="1" applyFill="1" applyBorder="1" applyAlignment="1">
      <alignment horizontal="left" vertical="center" wrapText="1" readingOrder="1"/>
    </xf>
    <xf numFmtId="0" fontId="35" fillId="16" borderId="42" xfId="1" applyFont="1" applyFill="1" applyBorder="1" applyAlignment="1">
      <alignment horizontal="left" vertical="center" wrapText="1" readingOrder="1"/>
    </xf>
    <xf numFmtId="0" fontId="35" fillId="16" borderId="44" xfId="1" applyFont="1" applyFill="1" applyBorder="1" applyAlignment="1">
      <alignment horizontal="left" vertical="center" wrapText="1" readingOrder="1"/>
    </xf>
    <xf numFmtId="0" fontId="32" fillId="6" borderId="33" xfId="1" applyFont="1" applyFill="1" applyBorder="1" applyAlignment="1">
      <alignment horizontal="left" vertical="center" wrapText="1"/>
    </xf>
    <xf numFmtId="0" fontId="32" fillId="6" borderId="34" xfId="1" applyFont="1" applyFill="1" applyBorder="1" applyAlignment="1">
      <alignment horizontal="left" vertical="center" wrapText="1"/>
    </xf>
    <xf numFmtId="0" fontId="32" fillId="6" borderId="17" xfId="1" applyFont="1" applyFill="1" applyBorder="1" applyAlignment="1">
      <alignment horizontal="left" vertical="center" wrapText="1"/>
    </xf>
    <xf numFmtId="0" fontId="32" fillId="6" borderId="38" xfId="1" applyFont="1" applyFill="1" applyBorder="1" applyAlignment="1">
      <alignment horizontal="left" vertical="center" wrapText="1"/>
    </xf>
    <xf numFmtId="0" fontId="32" fillId="6" borderId="39" xfId="1" applyFont="1" applyFill="1" applyBorder="1" applyAlignment="1">
      <alignment horizontal="left" vertical="center" wrapText="1"/>
    </xf>
    <xf numFmtId="0" fontId="32" fillId="6" borderId="40" xfId="1" applyFont="1" applyFill="1" applyBorder="1" applyAlignment="1">
      <alignment horizontal="left" vertical="center" wrapText="1"/>
    </xf>
    <xf numFmtId="0" fontId="32" fillId="16" borderId="36" xfId="1" applyFont="1" applyFill="1" applyBorder="1" applyAlignment="1">
      <alignment horizontal="left" vertical="top" wrapText="1"/>
    </xf>
    <xf numFmtId="0" fontId="32" fillId="16" borderId="37" xfId="1" applyFont="1" applyFill="1" applyBorder="1" applyAlignment="1">
      <alignment horizontal="left" vertical="top" wrapText="1"/>
    </xf>
    <xf numFmtId="0" fontId="32" fillId="16" borderId="25" xfId="1" applyFont="1" applyFill="1" applyBorder="1" applyAlignment="1">
      <alignment horizontal="left" vertical="top" wrapText="1"/>
    </xf>
    <xf numFmtId="0" fontId="32" fillId="16" borderId="38" xfId="1" applyFont="1" applyFill="1" applyBorder="1" applyAlignment="1">
      <alignment horizontal="left" vertical="top" wrapText="1"/>
    </xf>
    <xf numFmtId="0" fontId="32" fillId="16" borderId="39" xfId="1" applyFont="1" applyFill="1" applyBorder="1" applyAlignment="1">
      <alignment horizontal="left" vertical="top" wrapText="1"/>
    </xf>
    <xf numFmtId="0" fontId="32" fillId="16" borderId="40" xfId="1" applyFont="1" applyFill="1" applyBorder="1" applyAlignment="1">
      <alignment horizontal="left" vertical="top" wrapText="1"/>
    </xf>
    <xf numFmtId="0" fontId="20" fillId="0" borderId="0" xfId="1" applyFont="1"/>
    <xf numFmtId="0" fontId="3" fillId="0" borderId="0" xfId="1" applyFont="1" applyAlignment="1">
      <alignment horizontal="left" vertical="top" wrapText="1"/>
    </xf>
    <xf numFmtId="0" fontId="37" fillId="0" borderId="0" xfId="1" applyFont="1" applyAlignment="1">
      <alignment horizontal="left" vertical="top" wrapText="1"/>
    </xf>
    <xf numFmtId="0" fontId="31" fillId="16" borderId="36" xfId="1" applyFont="1" applyFill="1" applyBorder="1" applyAlignment="1">
      <alignment horizontal="left" vertical="center" wrapText="1"/>
    </xf>
    <xf numFmtId="0" fontId="32" fillId="16" borderId="16" xfId="1" applyFont="1" applyFill="1" applyBorder="1" applyAlignment="1">
      <alignment horizontal="center" vertical="center" wrapText="1"/>
    </xf>
    <xf numFmtId="0" fontId="32" fillId="16" borderId="26" xfId="1" applyFont="1" applyFill="1" applyBorder="1" applyAlignment="1">
      <alignment horizontal="center" vertical="center" wrapText="1"/>
    </xf>
    <xf numFmtId="0" fontId="31" fillId="16" borderId="42" xfId="1" applyFont="1" applyFill="1" applyBorder="1" applyAlignment="1">
      <alignment horizontal="left" vertical="center" wrapText="1"/>
    </xf>
    <xf numFmtId="0" fontId="33" fillId="16" borderId="43" xfId="1" applyFont="1" applyFill="1" applyBorder="1" applyAlignment="1">
      <alignment horizontal="center" vertical="center" wrapText="1"/>
    </xf>
    <xf numFmtId="0" fontId="32" fillId="16" borderId="42" xfId="1" applyFont="1" applyFill="1" applyBorder="1" applyAlignment="1">
      <alignment horizontal="center" vertical="center" wrapText="1"/>
    </xf>
    <xf numFmtId="0" fontId="32" fillId="16" borderId="44" xfId="1" applyFont="1" applyFill="1" applyBorder="1" applyAlignment="1">
      <alignment horizontal="center" vertical="center" wrapText="1"/>
    </xf>
    <xf numFmtId="0" fontId="32" fillId="0" borderId="37" xfId="1" applyFont="1" applyBorder="1" applyAlignment="1">
      <alignment horizontal="center" vertical="top" wrapText="1"/>
    </xf>
    <xf numFmtId="0" fontId="32" fillId="0" borderId="36" xfId="1" applyFont="1" applyBorder="1" applyAlignment="1">
      <alignment horizontal="center" vertical="top" wrapText="1"/>
    </xf>
    <xf numFmtId="0" fontId="32" fillId="0" borderId="25" xfId="1" applyFont="1" applyBorder="1" applyAlignment="1">
      <alignment horizontal="center" vertical="top" wrapText="1"/>
    </xf>
    <xf numFmtId="0" fontId="32" fillId="16" borderId="41" xfId="1" applyFont="1" applyFill="1" applyBorder="1" applyAlignment="1">
      <alignment horizontal="left" vertical="center" wrapText="1"/>
    </xf>
    <xf numFmtId="0" fontId="40" fillId="16" borderId="42" xfId="1" applyFont="1" applyFill="1" applyBorder="1" applyAlignment="1">
      <alignment horizontal="left" vertical="center" wrapText="1"/>
    </xf>
    <xf numFmtId="0" fontId="40" fillId="16" borderId="43" xfId="1" applyFont="1" applyFill="1" applyBorder="1" applyAlignment="1">
      <alignment horizontal="left" vertical="center" wrapText="1" readingOrder="1"/>
    </xf>
    <xf numFmtId="0" fontId="40" fillId="16" borderId="42" xfId="1" applyFont="1" applyFill="1" applyBorder="1" applyAlignment="1">
      <alignment horizontal="left" vertical="center" wrapText="1" readingOrder="1"/>
    </xf>
    <xf numFmtId="0" fontId="40" fillId="16" borderId="44" xfId="1" applyFont="1" applyFill="1" applyBorder="1" applyAlignment="1">
      <alignment horizontal="left" vertical="center" wrapText="1" readingOrder="1"/>
    </xf>
    <xf numFmtId="0" fontId="32" fillId="6" borderId="16" xfId="1" applyFont="1" applyFill="1" applyBorder="1" applyAlignment="1">
      <alignment horizontal="left" vertical="center" wrapText="1"/>
    </xf>
    <xf numFmtId="0" fontId="32" fillId="6" borderId="26" xfId="1" applyFont="1" applyFill="1" applyBorder="1" applyAlignment="1">
      <alignment horizontal="left" vertical="center" wrapText="1"/>
    </xf>
    <xf numFmtId="0" fontId="18" fillId="0" borderId="39" xfId="1" quotePrefix="1" applyFont="1" applyBorder="1" applyAlignment="1">
      <alignment vertical="center"/>
    </xf>
    <xf numFmtId="0" fontId="32" fillId="16" borderId="45" xfId="1" applyFont="1" applyFill="1" applyBorder="1" applyAlignment="1">
      <alignment horizontal="left" vertical="top" wrapText="1"/>
    </xf>
    <xf numFmtId="0" fontId="32" fillId="16" borderId="41" xfId="1" applyFont="1" applyFill="1" applyBorder="1" applyAlignment="1">
      <alignment horizontal="left" vertical="top" wrapText="1"/>
    </xf>
    <xf numFmtId="0" fontId="32" fillId="16" borderId="46" xfId="1" applyFont="1" applyFill="1" applyBorder="1" applyAlignment="1">
      <alignment horizontal="left" vertical="top" wrapText="1"/>
    </xf>
    <xf numFmtId="0" fontId="41" fillId="0" borderId="5" xfId="0" applyFont="1" applyBorder="1"/>
    <xf numFmtId="0" fontId="41" fillId="0" borderId="5" xfId="0" applyFont="1" applyBorder="1" applyAlignment="1" applyProtection="1">
      <alignment vertical="top"/>
      <protection locked="0"/>
    </xf>
    <xf numFmtId="0" fontId="41" fillId="0" borderId="5" xfId="0" applyFont="1" applyBorder="1" applyAlignment="1" applyProtection="1">
      <alignment vertical="top" wrapText="1"/>
      <protection locked="0"/>
    </xf>
    <xf numFmtId="0" fontId="41" fillId="0" borderId="5" xfId="0" applyFont="1" applyBorder="1" applyAlignment="1" applyProtection="1">
      <alignment horizontal="left" vertical="top" wrapText="1"/>
      <protection locked="0"/>
    </xf>
    <xf numFmtId="0" fontId="41" fillId="0" borderId="5" xfId="0" applyFont="1" applyBorder="1" applyAlignment="1">
      <alignment horizontal="left" vertical="center"/>
    </xf>
    <xf numFmtId="0" fontId="41" fillId="0" borderId="5" xfId="0" applyFont="1" applyBorder="1" applyAlignment="1">
      <alignment horizontal="left" vertical="center" wrapText="1"/>
    </xf>
    <xf numFmtId="0" fontId="41" fillId="8" borderId="5" xfId="0" applyFont="1" applyFill="1" applyBorder="1" applyAlignment="1">
      <alignment horizontal="center" vertical="center"/>
    </xf>
    <xf numFmtId="0" fontId="41" fillId="0" borderId="5" xfId="0" quotePrefix="1" applyFont="1" applyBorder="1" applyAlignment="1">
      <alignment horizontal="center" vertical="center"/>
    </xf>
    <xf numFmtId="0" fontId="41" fillId="0" borderId="11" xfId="0" quotePrefix="1" applyFont="1" applyBorder="1" applyAlignment="1">
      <alignment horizontal="center" vertical="center"/>
    </xf>
    <xf numFmtId="0" fontId="41" fillId="17" borderId="5" xfId="0" applyFont="1" applyFill="1" applyBorder="1" applyAlignment="1">
      <alignment horizontal="center" vertical="center"/>
    </xf>
    <xf numFmtId="0" fontId="41" fillId="17" borderId="11" xfId="0" applyFont="1" applyFill="1" applyBorder="1" applyAlignment="1">
      <alignment horizontal="center" vertical="center"/>
    </xf>
    <xf numFmtId="0" fontId="41" fillId="13" borderId="5" xfId="0" applyFont="1" applyFill="1" applyBorder="1" applyAlignment="1">
      <alignment horizontal="center" vertical="center"/>
    </xf>
    <xf numFmtId="0" fontId="41" fillId="13" borderId="11" xfId="0" applyFont="1" applyFill="1" applyBorder="1" applyAlignment="1">
      <alignment horizontal="center" vertical="center"/>
    </xf>
    <xf numFmtId="0" fontId="41" fillId="14" borderId="5" xfId="0" applyFont="1" applyFill="1" applyBorder="1" applyAlignment="1">
      <alignment horizontal="center" vertical="center"/>
    </xf>
    <xf numFmtId="0" fontId="41" fillId="14" borderId="11" xfId="0" applyFont="1" applyFill="1" applyBorder="1" applyAlignment="1">
      <alignment horizontal="center" vertical="center"/>
    </xf>
    <xf numFmtId="0" fontId="41" fillId="15" borderId="5" xfId="0" applyFont="1" applyFill="1" applyBorder="1" applyAlignment="1">
      <alignment horizontal="center" vertical="center"/>
    </xf>
    <xf numFmtId="0" fontId="41" fillId="15" borderId="11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6" fillId="0" borderId="1" xfId="0" applyFont="1" applyBorder="1"/>
    <xf numFmtId="0" fontId="11" fillId="0" borderId="0" xfId="0" applyFont="1"/>
    <xf numFmtId="164" fontId="1" fillId="0" borderId="1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vertical="top"/>
    </xf>
    <xf numFmtId="0" fontId="15" fillId="0" borderId="5" xfId="0" quotePrefix="1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15" fillId="0" borderId="5" xfId="0" applyFont="1" applyBorder="1" applyAlignment="1">
      <alignment horizontal="left" vertical="top" wrapText="1"/>
    </xf>
    <xf numFmtId="0" fontId="15" fillId="0" borderId="5" xfId="0" quotePrefix="1" applyFont="1" applyBorder="1" applyAlignment="1">
      <alignment horizontal="left" vertical="top" wrapText="1"/>
    </xf>
    <xf numFmtId="0" fontId="5" fillId="6" borderId="5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center" wrapText="1"/>
    </xf>
    <xf numFmtId="0" fontId="13" fillId="0" borderId="0" xfId="0" applyFont="1" applyAlignment="1">
      <alignment horizontal="right"/>
    </xf>
    <xf numFmtId="0" fontId="16" fillId="0" borderId="5" xfId="0" applyFont="1" applyBorder="1" applyAlignment="1">
      <alignment horizontal="center" vertical="top"/>
    </xf>
    <xf numFmtId="0" fontId="45" fillId="6" borderId="3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45" fillId="6" borderId="5" xfId="0" applyFont="1" applyFill="1" applyBorder="1" applyAlignment="1">
      <alignment horizontal="center" vertical="center" wrapText="1"/>
    </xf>
    <xf numFmtId="9" fontId="5" fillId="0" borderId="5" xfId="2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vertical="center"/>
    </xf>
    <xf numFmtId="0" fontId="5" fillId="6" borderId="5" xfId="3" applyFont="1" applyFill="1" applyBorder="1" applyAlignment="1">
      <alignment horizontal="center" vertical="center" wrapText="1"/>
    </xf>
    <xf numFmtId="0" fontId="49" fillId="0" borderId="0" xfId="0" applyFont="1"/>
    <xf numFmtId="0" fontId="50" fillId="0" borderId="0" xfId="0" applyFont="1" applyAlignment="1">
      <alignment horizontal="right" vertical="center"/>
    </xf>
    <xf numFmtId="0" fontId="49" fillId="0" borderId="1" xfId="0" applyFont="1" applyBorder="1" applyAlignment="1">
      <alignment horizontal="center" vertical="center"/>
    </xf>
    <xf numFmtId="0" fontId="50" fillId="5" borderId="5" xfId="0" applyFont="1" applyFill="1" applyBorder="1" applyAlignment="1">
      <alignment horizontal="center" vertical="center" wrapText="1"/>
    </xf>
    <xf numFmtId="0" fontId="50" fillId="5" borderId="5" xfId="0" applyFont="1" applyFill="1" applyBorder="1" applyAlignment="1">
      <alignment horizontal="center" vertical="center"/>
    </xf>
    <xf numFmtId="0" fontId="51" fillId="0" borderId="5" xfId="0" applyFont="1" applyBorder="1" applyAlignment="1">
      <alignment vertical="center" wrapText="1"/>
    </xf>
    <xf numFmtId="0" fontId="49" fillId="0" borderId="5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/>
    </xf>
    <xf numFmtId="0" fontId="53" fillId="0" borderId="0" xfId="0" applyFont="1"/>
    <xf numFmtId="0" fontId="52" fillId="0" borderId="0" xfId="0" applyFont="1" applyAlignment="1">
      <alignment horizontal="center"/>
    </xf>
    <xf numFmtId="0" fontId="4" fillId="0" borderId="0" xfId="0" applyFont="1"/>
    <xf numFmtId="164" fontId="49" fillId="0" borderId="1" xfId="0" applyNumberFormat="1" applyFont="1" applyBorder="1" applyAlignment="1">
      <alignment horizontal="center" vertical="center"/>
    </xf>
    <xf numFmtId="0" fontId="54" fillId="0" borderId="36" xfId="0" applyFont="1" applyBorder="1" applyAlignment="1">
      <alignment horizontal="left" vertical="center" wrapText="1"/>
    </xf>
    <xf numFmtId="0" fontId="45" fillId="6" borderId="9" xfId="0" applyFont="1" applyFill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5" fillId="6" borderId="10" xfId="0" applyFont="1" applyFill="1" applyBorder="1" applyAlignment="1">
      <alignment horizontal="center" vertical="center" wrapText="1"/>
    </xf>
    <xf numFmtId="9" fontId="45" fillId="0" borderId="50" xfId="2" applyFont="1" applyBorder="1" applyAlignment="1">
      <alignment horizontal="center" vertical="center" wrapText="1"/>
    </xf>
    <xf numFmtId="0" fontId="53" fillId="0" borderId="26" xfId="0" applyFont="1" applyBorder="1"/>
    <xf numFmtId="0" fontId="56" fillId="0" borderId="5" xfId="0" applyFont="1" applyBorder="1" applyAlignment="1">
      <alignment horizontal="left" vertical="top" wrapText="1"/>
    </xf>
    <xf numFmtId="0" fontId="56" fillId="6" borderId="5" xfId="0" applyFont="1" applyFill="1" applyBorder="1" applyAlignment="1">
      <alignment horizontal="left" vertical="top" wrapText="1"/>
    </xf>
    <xf numFmtId="0" fontId="56" fillId="0" borderId="5" xfId="0" quotePrefix="1" applyFont="1" applyBorder="1" applyAlignment="1">
      <alignment horizontal="left" vertical="top" wrapText="1"/>
    </xf>
    <xf numFmtId="0" fontId="45" fillId="6" borderId="5" xfId="0" applyFont="1" applyFill="1" applyBorder="1" applyAlignment="1">
      <alignment horizontal="center" vertical="center"/>
    </xf>
    <xf numFmtId="0" fontId="45" fillId="0" borderId="36" xfId="0" applyFont="1" applyBorder="1" applyAlignment="1">
      <alignment horizontal="center" vertical="top"/>
    </xf>
    <xf numFmtId="0" fontId="45" fillId="6" borderId="40" xfId="0" applyFont="1" applyFill="1" applyBorder="1" applyAlignment="1" applyProtection="1">
      <alignment horizontal="center" vertical="top" wrapText="1"/>
      <protection locked="0"/>
    </xf>
    <xf numFmtId="0" fontId="45" fillId="6" borderId="38" xfId="0" applyFont="1" applyFill="1" applyBorder="1" applyAlignment="1" applyProtection="1">
      <alignment horizontal="center" vertical="top" wrapText="1"/>
      <protection locked="0"/>
    </xf>
    <xf numFmtId="0" fontId="45" fillId="6" borderId="25" xfId="0" applyFont="1" applyFill="1" applyBorder="1" applyAlignment="1" applyProtection="1">
      <alignment horizontal="center" vertical="top" wrapText="1"/>
      <protection locked="0"/>
    </xf>
    <xf numFmtId="0" fontId="45" fillId="6" borderId="36" xfId="0" applyFont="1" applyFill="1" applyBorder="1" applyAlignment="1" applyProtection="1">
      <alignment horizontal="center" vertical="top" wrapText="1"/>
      <protection locked="0"/>
    </xf>
    <xf numFmtId="0" fontId="45" fillId="0" borderId="41" xfId="0" applyFont="1" applyBorder="1" applyAlignment="1">
      <alignment horizontal="center" vertical="top"/>
    </xf>
    <xf numFmtId="0" fontId="45" fillId="6" borderId="46" xfId="0" applyFont="1" applyFill="1" applyBorder="1" applyAlignment="1" applyProtection="1">
      <alignment horizontal="center" vertical="top" wrapText="1"/>
      <protection locked="0"/>
    </xf>
    <xf numFmtId="0" fontId="45" fillId="6" borderId="41" xfId="0" applyFont="1" applyFill="1" applyBorder="1" applyAlignment="1" applyProtection="1">
      <alignment horizontal="center" vertical="top" wrapText="1"/>
      <protection locked="0"/>
    </xf>
    <xf numFmtId="0" fontId="4" fillId="5" borderId="32" xfId="0" applyFont="1" applyFill="1" applyBorder="1" applyAlignment="1">
      <alignment horizontal="center" vertical="top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5" fillId="6" borderId="42" xfId="0" applyFont="1" applyFill="1" applyBorder="1" applyAlignment="1" applyProtection="1">
      <alignment horizontal="center" vertical="top" wrapText="1"/>
      <protection locked="0"/>
    </xf>
    <xf numFmtId="0" fontId="45" fillId="0" borderId="42" xfId="0" applyFont="1" applyBorder="1" applyAlignment="1">
      <alignment horizontal="center" vertical="top"/>
    </xf>
    <xf numFmtId="0" fontId="45" fillId="6" borderId="33" xfId="0" applyFont="1" applyFill="1" applyBorder="1" applyAlignment="1" applyProtection="1">
      <alignment horizontal="center" vertical="top" wrapText="1"/>
      <protection locked="0"/>
    </xf>
    <xf numFmtId="0" fontId="45" fillId="0" borderId="33" xfId="0" applyFont="1" applyBorder="1" applyAlignment="1">
      <alignment horizontal="center" vertical="top"/>
    </xf>
    <xf numFmtId="0" fontId="45" fillId="0" borderId="38" xfId="0" applyFont="1" applyBorder="1" applyAlignment="1">
      <alignment horizontal="center" vertical="top"/>
    </xf>
    <xf numFmtId="0" fontId="45" fillId="5" borderId="41" xfId="0" applyFont="1" applyFill="1" applyBorder="1" applyAlignment="1" applyProtection="1">
      <alignment horizontal="center" vertical="top" wrapText="1"/>
      <protection locked="0"/>
    </xf>
    <xf numFmtId="0" fontId="45" fillId="6" borderId="44" xfId="0" applyFont="1" applyFill="1" applyBorder="1" applyAlignment="1" applyProtection="1">
      <alignment horizontal="center" vertical="top" wrapText="1"/>
      <protection locked="0"/>
    </xf>
    <xf numFmtId="0" fontId="45" fillId="6" borderId="17" xfId="0" applyFont="1" applyFill="1" applyBorder="1" applyAlignment="1" applyProtection="1">
      <alignment horizontal="center" vertical="top" wrapText="1"/>
      <protection locked="0"/>
    </xf>
    <xf numFmtId="0" fontId="59" fillId="20" borderId="23" xfId="0" applyFont="1" applyFill="1" applyBorder="1" applyAlignment="1">
      <alignment horizontal="justify" vertical="center" wrapText="1"/>
    </xf>
    <xf numFmtId="0" fontId="60" fillId="0" borderId="0" xfId="0" applyFont="1" applyAlignment="1">
      <alignment vertical="center" wrapText="1"/>
    </xf>
    <xf numFmtId="0" fontId="61" fillId="20" borderId="31" xfId="0" applyFont="1" applyFill="1" applyBorder="1" applyAlignment="1">
      <alignment horizontal="justify" vertical="center" wrapText="1"/>
    </xf>
    <xf numFmtId="0" fontId="60" fillId="21" borderId="32" xfId="0" applyFont="1" applyFill="1" applyBorder="1" applyAlignment="1">
      <alignment horizontal="center" vertical="center" wrapText="1"/>
    </xf>
    <xf numFmtId="0" fontId="60" fillId="14" borderId="32" xfId="0" applyFont="1" applyFill="1" applyBorder="1" applyAlignment="1">
      <alignment horizontal="center" vertical="center" wrapText="1"/>
    </xf>
    <xf numFmtId="0" fontId="60" fillId="22" borderId="32" xfId="0" applyFont="1" applyFill="1" applyBorder="1" applyAlignment="1">
      <alignment horizontal="center" vertical="center" wrapText="1"/>
    </xf>
    <xf numFmtId="0" fontId="60" fillId="23" borderId="32" xfId="0" applyFont="1" applyFill="1" applyBorder="1" applyAlignment="1">
      <alignment horizontal="center" vertical="center" wrapText="1"/>
    </xf>
    <xf numFmtId="0" fontId="0" fillId="20" borderId="21" xfId="0" applyFill="1" applyBorder="1" applyAlignment="1">
      <alignment vertical="top" wrapText="1"/>
    </xf>
    <xf numFmtId="0" fontId="60" fillId="21" borderId="30" xfId="0" applyFont="1" applyFill="1" applyBorder="1" applyAlignment="1">
      <alignment horizontal="center" vertical="center" wrapText="1"/>
    </xf>
    <xf numFmtId="0" fontId="60" fillId="14" borderId="30" xfId="0" applyFont="1" applyFill="1" applyBorder="1" applyAlignment="1">
      <alignment horizontal="center" vertical="center" wrapText="1"/>
    </xf>
    <xf numFmtId="0" fontId="60" fillId="22" borderId="30" xfId="0" applyFont="1" applyFill="1" applyBorder="1" applyAlignment="1">
      <alignment horizontal="center" vertical="center" wrapText="1"/>
    </xf>
    <xf numFmtId="0" fontId="60" fillId="23" borderId="30" xfId="0" applyFont="1" applyFill="1" applyBorder="1" applyAlignment="1">
      <alignment horizontal="center" vertical="center" wrapText="1"/>
    </xf>
    <xf numFmtId="0" fontId="64" fillId="0" borderId="30" xfId="0" applyFont="1" applyBorder="1" applyAlignment="1">
      <alignment horizontal="center" vertical="center" wrapText="1"/>
    </xf>
    <xf numFmtId="0" fontId="65" fillId="0" borderId="30" xfId="0" applyFont="1" applyBorder="1" applyAlignment="1">
      <alignment horizontal="center" vertical="center" wrapText="1"/>
    </xf>
    <xf numFmtId="0" fontId="62" fillId="0" borderId="0" xfId="0" applyFont="1" applyAlignment="1">
      <alignment vertical="center" wrapText="1"/>
    </xf>
    <xf numFmtId="0" fontId="66" fillId="24" borderId="31" xfId="0" applyFont="1" applyFill="1" applyBorder="1" applyAlignment="1">
      <alignment horizontal="center" vertical="center" wrapText="1"/>
    </xf>
    <xf numFmtId="0" fontId="67" fillId="25" borderId="32" xfId="0" applyFont="1" applyFill="1" applyBorder="1" applyAlignment="1">
      <alignment vertical="center" wrapText="1"/>
    </xf>
    <xf numFmtId="0" fontId="67" fillId="25" borderId="30" xfId="0" applyFont="1" applyFill="1" applyBorder="1" applyAlignment="1">
      <alignment vertical="center" wrapText="1"/>
    </xf>
    <xf numFmtId="0" fontId="60" fillId="24" borderId="31" xfId="0" applyFont="1" applyFill="1" applyBorder="1" applyAlignment="1">
      <alignment horizontal="center" vertical="center" wrapText="1"/>
    </xf>
    <xf numFmtId="0" fontId="0" fillId="24" borderId="31" xfId="0" applyFill="1" applyBorder="1" applyAlignment="1">
      <alignment vertical="top" wrapText="1"/>
    </xf>
    <xf numFmtId="0" fontId="65" fillId="0" borderId="32" xfId="0" applyFont="1" applyBorder="1" applyAlignment="1">
      <alignment horizontal="center" vertical="center" wrapText="1"/>
    </xf>
    <xf numFmtId="0" fontId="64" fillId="0" borderId="32" xfId="0" applyFont="1" applyBorder="1" applyAlignment="1">
      <alignment horizontal="center" vertical="center" wrapText="1"/>
    </xf>
    <xf numFmtId="0" fontId="0" fillId="24" borderId="21" xfId="0" applyFill="1" applyBorder="1" applyAlignment="1">
      <alignment vertical="top" wrapText="1"/>
    </xf>
    <xf numFmtId="0" fontId="60" fillId="24" borderId="21" xfId="0" applyFont="1" applyFill="1" applyBorder="1" applyAlignment="1">
      <alignment horizontal="center" vertical="center" wrapText="1"/>
    </xf>
    <xf numFmtId="0" fontId="60" fillId="25" borderId="30" xfId="0" applyFont="1" applyFill="1" applyBorder="1" applyAlignment="1">
      <alignment vertical="center" wrapText="1"/>
    </xf>
    <xf numFmtId="0" fontId="64" fillId="0" borderId="30" xfId="0" applyFont="1" applyBorder="1" applyAlignment="1">
      <alignment vertical="center" wrapText="1"/>
    </xf>
    <xf numFmtId="0" fontId="64" fillId="25" borderId="32" xfId="0" applyFont="1" applyFill="1" applyBorder="1" applyAlignment="1">
      <alignment horizontal="center" vertical="center" wrapText="1"/>
    </xf>
    <xf numFmtId="0" fontId="64" fillId="24" borderId="31" xfId="0" applyFont="1" applyFill="1" applyBorder="1" applyAlignment="1">
      <alignment horizontal="center" vertical="center" wrapText="1"/>
    </xf>
    <xf numFmtId="0" fontId="60" fillId="25" borderId="32" xfId="0" applyFont="1" applyFill="1" applyBorder="1" applyAlignment="1">
      <alignment horizontal="center" vertical="center" wrapText="1"/>
    </xf>
    <xf numFmtId="0" fontId="0" fillId="25" borderId="32" xfId="0" applyFill="1" applyBorder="1" applyAlignment="1">
      <alignment vertical="top" wrapText="1"/>
    </xf>
    <xf numFmtId="0" fontId="0" fillId="25" borderId="30" xfId="0" applyFill="1" applyBorder="1" applyAlignment="1">
      <alignment vertical="top" wrapText="1"/>
    </xf>
    <xf numFmtId="0" fontId="60" fillId="25" borderId="30" xfId="0" applyFont="1" applyFill="1" applyBorder="1" applyAlignment="1">
      <alignment horizontal="center" vertical="center" wrapText="1"/>
    </xf>
    <xf numFmtId="0" fontId="0" fillId="25" borderId="32" xfId="0" applyFill="1" applyBorder="1" applyAlignment="1">
      <alignment vertical="center" wrapText="1"/>
    </xf>
    <xf numFmtId="0" fontId="0" fillId="25" borderId="30" xfId="0" applyFill="1" applyBorder="1" applyAlignment="1">
      <alignment vertical="center" wrapText="1"/>
    </xf>
    <xf numFmtId="0" fontId="64" fillId="0" borderId="32" xfId="0" applyFont="1" applyBorder="1" applyAlignment="1">
      <alignment vertical="center" wrapText="1"/>
    </xf>
    <xf numFmtId="0" fontId="65" fillId="0" borderId="30" xfId="0" applyFont="1" applyBorder="1" applyAlignment="1">
      <alignment vertical="center" wrapText="1"/>
    </xf>
    <xf numFmtId="0" fontId="0" fillId="0" borderId="32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14" fontId="15" fillId="0" borderId="1" xfId="0" applyNumberFormat="1" applyFont="1" applyBorder="1" applyAlignment="1">
      <alignment horizontal="center" vertical="center"/>
    </xf>
    <xf numFmtId="0" fontId="69" fillId="0" borderId="5" xfId="0" applyFont="1" applyBorder="1" applyAlignment="1">
      <alignment horizontal="left" vertical="top" wrapText="1"/>
    </xf>
    <xf numFmtId="0" fontId="70" fillId="6" borderId="5" xfId="0" quotePrefix="1" applyFont="1" applyFill="1" applyBorder="1" applyAlignment="1">
      <alignment vertical="top" wrapText="1"/>
    </xf>
    <xf numFmtId="0" fontId="70" fillId="0" borderId="5" xfId="0" applyFont="1" applyBorder="1" applyAlignment="1">
      <alignment vertical="top" wrapText="1"/>
    </xf>
    <xf numFmtId="0" fontId="70" fillId="0" borderId="5" xfId="0" quotePrefix="1" applyFont="1" applyBorder="1" applyAlignment="1">
      <alignment vertical="top" wrapText="1"/>
    </xf>
    <xf numFmtId="0" fontId="70" fillId="0" borderId="5" xfId="0" quotePrefix="1" applyFont="1" applyBorder="1" applyAlignment="1">
      <alignment horizontal="left" vertical="top" wrapText="1"/>
    </xf>
    <xf numFmtId="0" fontId="70" fillId="0" borderId="5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45" fillId="0" borderId="33" xfId="0" applyFont="1" applyBorder="1" applyAlignment="1">
      <alignment horizontal="left" vertical="center" wrapText="1"/>
    </xf>
    <xf numFmtId="0" fontId="45" fillId="0" borderId="36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71" fillId="0" borderId="0" xfId="0" applyFont="1"/>
    <xf numFmtId="0" fontId="15" fillId="0" borderId="0" xfId="0" applyFont="1" applyAlignment="1">
      <alignment vertical="center"/>
    </xf>
    <xf numFmtId="0" fontId="11" fillId="16" borderId="5" xfId="0" applyFont="1" applyFill="1" applyBorder="1" applyAlignment="1" applyProtection="1">
      <alignment horizontal="center" vertical="center"/>
      <protection locked="0"/>
    </xf>
    <xf numFmtId="0" fontId="73" fillId="16" borderId="5" xfId="0" applyFont="1" applyFill="1" applyBorder="1" applyAlignment="1">
      <alignment horizontal="center" vertical="center"/>
    </xf>
    <xf numFmtId="165" fontId="15" fillId="0" borderId="5" xfId="0" applyNumberFormat="1" applyFont="1" applyBorder="1" applyAlignment="1">
      <alignment horizontal="center" vertical="top"/>
    </xf>
    <xf numFmtId="0" fontId="15" fillId="0" borderId="5" xfId="0" applyFont="1" applyBorder="1" applyAlignment="1">
      <alignment horizontal="center" vertical="top"/>
    </xf>
    <xf numFmtId="0" fontId="49" fillId="0" borderId="5" xfId="0" applyFont="1" applyBorder="1" applyAlignment="1">
      <alignment wrapText="1"/>
    </xf>
    <xf numFmtId="15" fontId="74" fillId="0" borderId="5" xfId="0" applyNumberFormat="1" applyFont="1" applyBorder="1" applyAlignment="1">
      <alignment horizontal="center" vertical="center"/>
    </xf>
    <xf numFmtId="0" fontId="74" fillId="0" borderId="5" xfId="0" applyFont="1" applyBorder="1" applyAlignment="1">
      <alignment vertical="center" wrapText="1"/>
    </xf>
    <xf numFmtId="0" fontId="74" fillId="0" borderId="5" xfId="0" applyFont="1" applyBorder="1" applyAlignment="1">
      <alignment horizontal="center"/>
    </xf>
    <xf numFmtId="0" fontId="74" fillId="0" borderId="5" xfId="0" applyFont="1" applyBorder="1" applyAlignment="1">
      <alignment horizontal="center" vertical="center"/>
    </xf>
    <xf numFmtId="0" fontId="74" fillId="0" borderId="3" xfId="0" applyFont="1" applyBorder="1" applyAlignment="1">
      <alignment vertical="center" wrapText="1"/>
    </xf>
    <xf numFmtId="0" fontId="49" fillId="26" borderId="5" xfId="0" applyFont="1" applyFill="1" applyBorder="1" applyAlignment="1">
      <alignment wrapText="1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9" fillId="0" borderId="1" xfId="0" applyFont="1" applyBorder="1" applyAlignment="1">
      <alignment vertical="center"/>
    </xf>
    <xf numFmtId="0" fontId="49" fillId="0" borderId="2" xfId="0" applyFont="1" applyBorder="1" applyAlignment="1">
      <alignment vertical="center"/>
    </xf>
    <xf numFmtId="0" fontId="49" fillId="0" borderId="0" xfId="0" applyFont="1" applyAlignment="1">
      <alignment horizontal="center" vertical="center"/>
    </xf>
    <xf numFmtId="14" fontId="49" fillId="0" borderId="1" xfId="0" applyNumberFormat="1" applyFont="1" applyBorder="1" applyAlignment="1">
      <alignment horizontal="center" vertical="center"/>
    </xf>
    <xf numFmtId="0" fontId="15" fillId="0" borderId="52" xfId="0" applyFont="1" applyBorder="1"/>
    <xf numFmtId="0" fontId="73" fillId="16" borderId="5" xfId="0" applyFont="1" applyFill="1" applyBorder="1" applyAlignment="1">
      <alignment horizontal="center"/>
    </xf>
    <xf numFmtId="0" fontId="75" fillId="15" borderId="5" xfId="0" applyFont="1" applyFill="1" applyBorder="1" applyAlignment="1" applyProtection="1">
      <alignment horizontal="center" vertical="center"/>
      <protection locked="0"/>
    </xf>
    <xf numFmtId="9" fontId="15" fillId="0" borderId="5" xfId="2" applyFont="1" applyBorder="1" applyAlignment="1">
      <alignment horizontal="center" vertical="top"/>
    </xf>
    <xf numFmtId="0" fontId="15" fillId="0" borderId="0" xfId="0" applyFont="1" applyAlignment="1">
      <alignment vertical="top"/>
    </xf>
    <xf numFmtId="0" fontId="55" fillId="0" borderId="5" xfId="0" applyFont="1" applyBorder="1" applyAlignment="1">
      <alignment horizontal="center" vertical="top"/>
    </xf>
    <xf numFmtId="0" fontId="16" fillId="0" borderId="0" xfId="0" applyFont="1" applyAlignment="1">
      <alignment vertical="top"/>
    </xf>
    <xf numFmtId="0" fontId="56" fillId="0" borderId="5" xfId="0" applyFont="1" applyBorder="1" applyAlignment="1">
      <alignment horizontal="center" vertical="top"/>
    </xf>
    <xf numFmtId="0" fontId="70" fillId="0" borderId="5" xfId="0" applyFont="1" applyBorder="1" applyAlignment="1">
      <alignment horizontal="center" vertical="top"/>
    </xf>
    <xf numFmtId="0" fontId="15" fillId="6" borderId="5" xfId="0" applyFont="1" applyFill="1" applyBorder="1" applyAlignment="1">
      <alignment horizontal="left" vertical="top" wrapText="1"/>
    </xf>
    <xf numFmtId="166" fontId="15" fillId="0" borderId="5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9" fontId="1" fillId="0" borderId="5" xfId="2" applyFont="1" applyBorder="1" applyAlignment="1">
      <alignment horizontal="center" vertical="top"/>
    </xf>
    <xf numFmtId="0" fontId="16" fillId="0" borderId="4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top" wrapText="1"/>
    </xf>
    <xf numFmtId="0" fontId="4" fillId="5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top" wrapText="1"/>
    </xf>
    <xf numFmtId="9" fontId="5" fillId="6" borderId="16" xfId="0" applyNumberFormat="1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left" vertical="top" wrapText="1"/>
    </xf>
    <xf numFmtId="0" fontId="45" fillId="6" borderId="33" xfId="0" applyFont="1" applyFill="1" applyBorder="1" applyAlignment="1">
      <alignment horizontal="center" vertical="center" wrapText="1"/>
    </xf>
    <xf numFmtId="0" fontId="45" fillId="6" borderId="16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45" fillId="0" borderId="15" xfId="0" applyFont="1" applyBorder="1" applyAlignment="1">
      <alignment horizontal="left" vertical="center" wrapText="1"/>
    </xf>
    <xf numFmtId="0" fontId="45" fillId="6" borderId="31" xfId="0" applyFont="1" applyFill="1" applyBorder="1" applyAlignment="1" applyProtection="1">
      <alignment horizontal="center" vertical="top" wrapText="1"/>
      <protection locked="0"/>
    </xf>
    <xf numFmtId="0" fontId="45" fillId="6" borderId="0" xfId="0" applyFont="1" applyFill="1" applyAlignment="1" applyProtection="1">
      <alignment horizontal="center" vertical="top" wrapText="1"/>
      <protection locked="0"/>
    </xf>
    <xf numFmtId="0" fontId="45" fillId="0" borderId="16" xfId="0" applyFont="1" applyBorder="1" applyAlignment="1">
      <alignment horizontal="center" vertical="top"/>
    </xf>
    <xf numFmtId="0" fontId="45" fillId="6" borderId="15" xfId="0" applyFont="1" applyFill="1" applyBorder="1" applyAlignment="1" applyProtection="1">
      <alignment horizontal="center" vertical="top" wrapText="1"/>
      <protection locked="0"/>
    </xf>
    <xf numFmtId="0" fontId="45" fillId="6" borderId="20" xfId="0" applyFont="1" applyFill="1" applyBorder="1" applyAlignment="1" applyProtection="1">
      <alignment horizontal="center" vertical="top" wrapText="1"/>
      <protection locked="0"/>
    </xf>
    <xf numFmtId="0" fontId="45" fillId="0" borderId="15" xfId="0" applyFont="1" applyBorder="1" applyAlignment="1">
      <alignment horizontal="center" vertical="top"/>
    </xf>
    <xf numFmtId="0" fontId="50" fillId="5" borderId="33" xfId="0" applyFont="1" applyFill="1" applyBorder="1" applyAlignment="1">
      <alignment horizontal="center" vertical="center" wrapText="1"/>
    </xf>
    <xf numFmtId="0" fontId="74" fillId="0" borderId="36" xfId="0" applyFont="1" applyBorder="1" applyAlignment="1">
      <alignment horizontal="center"/>
    </xf>
    <xf numFmtId="0" fontId="74" fillId="0" borderId="36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/>
    </xf>
    <xf numFmtId="0" fontId="49" fillId="0" borderId="42" xfId="0" applyFont="1" applyBorder="1" applyAlignment="1">
      <alignment horizontal="center"/>
    </xf>
    <xf numFmtId="0" fontId="49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left" vertical="top" wrapText="1"/>
    </xf>
    <xf numFmtId="0" fontId="5" fillId="6" borderId="15" xfId="0" applyFont="1" applyFill="1" applyBorder="1" applyAlignment="1">
      <alignment horizontal="center" vertical="center" wrapText="1"/>
    </xf>
    <xf numFmtId="9" fontId="5" fillId="6" borderId="15" xfId="0" applyNumberFormat="1" applyFont="1" applyFill="1" applyBorder="1" applyAlignment="1">
      <alignment horizontal="center" vertical="center" wrapText="1"/>
    </xf>
    <xf numFmtId="0" fontId="4" fillId="5" borderId="5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top"/>
    </xf>
    <xf numFmtId="0" fontId="45" fillId="5" borderId="36" xfId="0" applyFont="1" applyFill="1" applyBorder="1" applyAlignment="1" applyProtection="1">
      <alignment horizontal="center" vertical="top" wrapText="1"/>
      <protection locked="0"/>
    </xf>
    <xf numFmtId="0" fontId="11" fillId="16" borderId="15" xfId="0" applyFont="1" applyFill="1" applyBorder="1" applyAlignment="1">
      <alignment horizontal="center" vertical="center"/>
    </xf>
    <xf numFmtId="0" fontId="76" fillId="0" borderId="15" xfId="0" applyFont="1" applyBorder="1" applyAlignment="1">
      <alignment horizontal="center" vertical="center"/>
    </xf>
    <xf numFmtId="0" fontId="31" fillId="11" borderId="23" xfId="1" applyFont="1" applyFill="1" applyBorder="1" applyAlignment="1">
      <alignment horizontal="left" vertical="center" wrapText="1"/>
    </xf>
    <xf numFmtId="0" fontId="31" fillId="11" borderId="24" xfId="1" applyFont="1" applyFill="1" applyBorder="1" applyAlignment="1">
      <alignment horizontal="left" vertical="center"/>
    </xf>
    <xf numFmtId="0" fontId="31" fillId="11" borderId="31" xfId="1" applyFont="1" applyFill="1" applyBorder="1" applyAlignment="1">
      <alignment horizontal="left" vertical="center" wrapText="1"/>
    </xf>
    <xf numFmtId="0" fontId="31" fillId="11" borderId="21" xfId="1" applyFont="1" applyFill="1" applyBorder="1" applyAlignment="1">
      <alignment horizontal="left" vertical="center" wrapText="1"/>
    </xf>
    <xf numFmtId="0" fontId="28" fillId="0" borderId="23" xfId="1" applyFont="1" applyBorder="1" applyAlignment="1">
      <alignment horizontal="center" vertical="center" wrapText="1" readingOrder="1"/>
    </xf>
    <xf numFmtId="0" fontId="28" fillId="0" borderId="27" xfId="1" applyFont="1" applyBorder="1" applyAlignment="1">
      <alignment horizontal="center" vertical="center" wrapText="1" readingOrder="1"/>
    </xf>
    <xf numFmtId="0" fontId="28" fillId="0" borderId="24" xfId="1" applyFont="1" applyBorder="1" applyAlignment="1">
      <alignment horizontal="center" vertical="center" wrapText="1" readingOrder="1"/>
    </xf>
    <xf numFmtId="0" fontId="28" fillId="0" borderId="30" xfId="1" applyFont="1" applyBorder="1" applyAlignment="1">
      <alignment horizontal="center" vertical="center" wrapText="1" readingOrder="1"/>
    </xf>
    <xf numFmtId="0" fontId="30" fillId="10" borderId="23" xfId="1" applyFont="1" applyFill="1" applyBorder="1" applyAlignment="1">
      <alignment horizontal="center" vertical="center" wrapText="1"/>
    </xf>
    <xf numFmtId="0" fontId="30" fillId="10" borderId="27" xfId="1" applyFont="1" applyFill="1" applyBorder="1" applyAlignment="1">
      <alignment horizontal="center" vertical="center" wrapText="1"/>
    </xf>
    <xf numFmtId="0" fontId="30" fillId="10" borderId="24" xfId="1" applyFont="1" applyFill="1" applyBorder="1" applyAlignment="1">
      <alignment horizontal="center" vertical="center" wrapText="1"/>
    </xf>
    <xf numFmtId="0" fontId="30" fillId="10" borderId="30" xfId="1" applyFont="1" applyFill="1" applyBorder="1" applyAlignment="1">
      <alignment horizontal="center" vertical="center" wrapText="1"/>
    </xf>
    <xf numFmtId="0" fontId="31" fillId="11" borderId="19" xfId="1" applyFont="1" applyFill="1" applyBorder="1" applyAlignment="1">
      <alignment horizontal="center" vertical="center" wrapText="1"/>
    </xf>
    <xf numFmtId="0" fontId="31" fillId="11" borderId="20" xfId="1" applyFont="1" applyFill="1" applyBorder="1" applyAlignment="1">
      <alignment horizontal="center" vertical="center" wrapText="1"/>
    </xf>
    <xf numFmtId="0" fontId="31" fillId="11" borderId="18" xfId="1" applyFont="1" applyFill="1" applyBorder="1" applyAlignment="1">
      <alignment horizontal="center" vertical="center" wrapText="1"/>
    </xf>
    <xf numFmtId="0" fontId="31" fillId="11" borderId="35" xfId="1" applyFont="1" applyFill="1" applyBorder="1" applyAlignment="1">
      <alignment horizontal="left" vertical="center" wrapText="1"/>
    </xf>
    <xf numFmtId="0" fontId="31" fillId="11" borderId="16" xfId="1" applyFont="1" applyFill="1" applyBorder="1" applyAlignment="1">
      <alignment horizontal="left" vertical="center" wrapText="1"/>
    </xf>
    <xf numFmtId="0" fontId="17" fillId="0" borderId="0" xfId="1" applyFont="1" applyAlignment="1">
      <alignment horizontal="center" vertical="center"/>
    </xf>
    <xf numFmtId="0" fontId="24" fillId="10" borderId="6" xfId="1" applyFont="1" applyFill="1" applyBorder="1" applyAlignment="1">
      <alignment horizontal="center" vertical="center" wrapText="1" readingOrder="1"/>
    </xf>
    <xf numFmtId="0" fontId="24" fillId="10" borderId="8" xfId="1" applyFont="1" applyFill="1" applyBorder="1" applyAlignment="1">
      <alignment horizontal="center" vertical="center" wrapText="1" readingOrder="1"/>
    </xf>
    <xf numFmtId="0" fontId="24" fillId="10" borderId="9" xfId="1" applyFont="1" applyFill="1" applyBorder="1" applyAlignment="1">
      <alignment horizontal="center" vertical="center" wrapText="1" readingOrder="1"/>
    </xf>
    <xf numFmtId="0" fontId="24" fillId="10" borderId="11" xfId="1" applyFont="1" applyFill="1" applyBorder="1" applyAlignment="1">
      <alignment horizontal="center" vertical="center" wrapText="1" readingOrder="1"/>
    </xf>
    <xf numFmtId="0" fontId="24" fillId="10" borderId="28" xfId="1" applyFont="1" applyFill="1" applyBorder="1" applyAlignment="1">
      <alignment horizontal="center" vertical="center" wrapText="1" readingOrder="1"/>
    </xf>
    <xf numFmtId="0" fontId="24" fillId="10" borderId="22" xfId="1" applyFont="1" applyFill="1" applyBorder="1" applyAlignment="1">
      <alignment horizontal="center" vertical="center" wrapText="1" readingOrder="1"/>
    </xf>
    <xf numFmtId="0" fontId="25" fillId="11" borderId="19" xfId="1" applyFont="1" applyFill="1" applyBorder="1" applyAlignment="1">
      <alignment horizontal="center"/>
    </xf>
    <xf numFmtId="0" fontId="25" fillId="11" borderId="20" xfId="1" applyFont="1" applyFill="1" applyBorder="1" applyAlignment="1">
      <alignment horizontal="center"/>
    </xf>
    <xf numFmtId="0" fontId="25" fillId="11" borderId="18" xfId="1" applyFont="1" applyFill="1" applyBorder="1" applyAlignment="1">
      <alignment horizontal="center"/>
    </xf>
    <xf numFmtId="0" fontId="27" fillId="12" borderId="16" xfId="1" applyFont="1" applyFill="1" applyBorder="1" applyAlignment="1">
      <alignment horizontal="center" vertical="center" wrapText="1" readingOrder="1"/>
    </xf>
    <xf numFmtId="0" fontId="27" fillId="12" borderId="21" xfId="1" applyFont="1" applyFill="1" applyBorder="1" applyAlignment="1">
      <alignment horizontal="center" vertical="center" readingOrder="1"/>
    </xf>
    <xf numFmtId="0" fontId="27" fillId="13" borderId="26" xfId="1" applyFont="1" applyFill="1" applyBorder="1" applyAlignment="1">
      <alignment horizontal="center" vertical="center" wrapText="1" readingOrder="1"/>
    </xf>
    <xf numFmtId="0" fontId="27" fillId="13" borderId="29" xfId="1" applyFont="1" applyFill="1" applyBorder="1" applyAlignment="1">
      <alignment horizontal="center" vertical="center" wrapText="1" readingOrder="1"/>
    </xf>
    <xf numFmtId="0" fontId="27" fillId="14" borderId="16" xfId="1" applyFont="1" applyFill="1" applyBorder="1" applyAlignment="1">
      <alignment horizontal="center" vertical="center" wrapText="1" readingOrder="1"/>
    </xf>
    <xf numFmtId="0" fontId="27" fillId="14" borderId="21" xfId="1" applyFont="1" applyFill="1" applyBorder="1" applyAlignment="1">
      <alignment horizontal="center" vertical="center" wrapText="1" readingOrder="1"/>
    </xf>
    <xf numFmtId="0" fontId="27" fillId="15" borderId="27" xfId="1" applyFont="1" applyFill="1" applyBorder="1" applyAlignment="1">
      <alignment horizontal="center" vertical="center" wrapText="1" readingOrder="1"/>
    </xf>
    <xf numFmtId="0" fontId="27" fillId="15" borderId="30" xfId="1" applyFont="1" applyFill="1" applyBorder="1" applyAlignment="1">
      <alignment horizontal="center" vertical="center" readingOrder="1"/>
    </xf>
    <xf numFmtId="0" fontId="31" fillId="11" borderId="16" xfId="1" applyFont="1" applyFill="1" applyBorder="1" applyAlignment="1">
      <alignment horizontal="center" vertical="center" wrapText="1"/>
    </xf>
    <xf numFmtId="0" fontId="31" fillId="11" borderId="31" xfId="1" applyFont="1" applyFill="1" applyBorder="1" applyAlignment="1">
      <alignment horizontal="center" vertical="center" wrapText="1"/>
    </xf>
    <xf numFmtId="0" fontId="31" fillId="11" borderId="21" xfId="1" applyFont="1" applyFill="1" applyBorder="1" applyAlignment="1">
      <alignment horizontal="center" vertical="center" wrapText="1"/>
    </xf>
    <xf numFmtId="0" fontId="30" fillId="10" borderId="26" xfId="1" applyFont="1" applyFill="1" applyBorder="1" applyAlignment="1">
      <alignment horizontal="center" vertical="center" wrapText="1"/>
    </xf>
    <xf numFmtId="0" fontId="30" fillId="10" borderId="0" xfId="1" applyFont="1" applyFill="1" applyAlignment="1">
      <alignment horizontal="center" vertical="center" wrapText="1"/>
    </xf>
    <xf numFmtId="0" fontId="30" fillId="10" borderId="32" xfId="1" applyFont="1" applyFill="1" applyBorder="1" applyAlignment="1">
      <alignment horizontal="center" vertical="center" wrapText="1"/>
    </xf>
    <xf numFmtId="0" fontId="27" fillId="12" borderId="23" xfId="1" applyFont="1" applyFill="1" applyBorder="1" applyAlignment="1">
      <alignment horizontal="center" vertical="center" wrapText="1" readingOrder="1"/>
    </xf>
    <xf numFmtId="0" fontId="27" fillId="12" borderId="24" xfId="1" applyFont="1" applyFill="1" applyBorder="1" applyAlignment="1">
      <alignment horizontal="center" vertical="center" readingOrder="1"/>
    </xf>
    <xf numFmtId="0" fontId="27" fillId="13" borderId="16" xfId="1" applyFont="1" applyFill="1" applyBorder="1" applyAlignment="1">
      <alignment horizontal="center" vertical="center" wrapText="1" readingOrder="1"/>
    </xf>
    <xf numFmtId="0" fontId="27" fillId="13" borderId="21" xfId="1" applyFont="1" applyFill="1" applyBorder="1" applyAlignment="1">
      <alignment horizontal="center" vertical="center" wrapText="1" readingOrder="1"/>
    </xf>
    <xf numFmtId="0" fontId="27" fillId="14" borderId="26" xfId="1" applyFont="1" applyFill="1" applyBorder="1" applyAlignment="1">
      <alignment horizontal="center" vertical="center" wrapText="1" readingOrder="1"/>
    </xf>
    <xf numFmtId="0" fontId="27" fillId="14" borderId="29" xfId="1" applyFont="1" applyFill="1" applyBorder="1" applyAlignment="1">
      <alignment horizontal="center" vertical="center" wrapText="1" readingOrder="1"/>
    </xf>
    <xf numFmtId="0" fontId="27" fillId="15" borderId="16" xfId="1" applyFont="1" applyFill="1" applyBorder="1" applyAlignment="1">
      <alignment horizontal="center" vertical="center" wrapText="1" readingOrder="1"/>
    </xf>
    <xf numFmtId="0" fontId="27" fillId="15" borderId="21" xfId="1" applyFont="1" applyFill="1" applyBorder="1" applyAlignment="1">
      <alignment horizontal="center" vertical="center" readingOrder="1"/>
    </xf>
    <xf numFmtId="0" fontId="72" fillId="27" borderId="5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16" borderId="11" xfId="0" applyFont="1" applyFill="1" applyBorder="1" applyAlignment="1">
      <alignment horizontal="center" vertical="center" wrapText="1"/>
    </xf>
    <xf numFmtId="0" fontId="11" fillId="16" borderId="11" xfId="0" applyFont="1" applyFill="1" applyBorder="1" applyAlignment="1">
      <alignment horizontal="center" vertical="center"/>
    </xf>
    <xf numFmtId="0" fontId="11" fillId="16" borderId="5" xfId="0" applyFont="1" applyFill="1" applyBorder="1" applyAlignment="1" applyProtection="1">
      <alignment horizontal="center" vertical="center" wrapText="1"/>
      <protection locked="0"/>
    </xf>
    <xf numFmtId="0" fontId="11" fillId="16" borderId="5" xfId="0" applyFont="1" applyFill="1" applyBorder="1" applyAlignment="1" applyProtection="1">
      <alignment horizontal="center" vertical="center"/>
      <protection locked="0"/>
    </xf>
    <xf numFmtId="0" fontId="11" fillId="27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 wrapText="1"/>
    </xf>
    <xf numFmtId="0" fontId="11" fillId="18" borderId="5" xfId="0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 vertical="center" wrapText="1"/>
    </xf>
    <xf numFmtId="0" fontId="64" fillId="0" borderId="16" xfId="0" applyFont="1" applyBorder="1" applyAlignment="1">
      <alignment horizontal="center" vertical="center" wrapText="1"/>
    </xf>
    <xf numFmtId="0" fontId="64" fillId="0" borderId="31" xfId="0" applyFont="1" applyBorder="1" applyAlignment="1">
      <alignment horizontal="center" vertical="center" wrapText="1"/>
    </xf>
    <xf numFmtId="0" fontId="64" fillId="0" borderId="21" xfId="0" applyFont="1" applyBorder="1" applyAlignment="1">
      <alignment horizontal="center" vertical="center" wrapText="1"/>
    </xf>
    <xf numFmtId="0" fontId="64" fillId="0" borderId="16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64" fillId="0" borderId="21" xfId="0" applyFont="1" applyBorder="1" applyAlignment="1">
      <alignment vertical="center" wrapText="1"/>
    </xf>
    <xf numFmtId="0" fontId="63" fillId="20" borderId="23" xfId="0" applyFont="1" applyFill="1" applyBorder="1" applyAlignment="1">
      <alignment horizontal="center" vertical="center" wrapText="1"/>
    </xf>
    <xf numFmtId="0" fontId="63" fillId="20" borderId="27" xfId="0" applyFont="1" applyFill="1" applyBorder="1" applyAlignment="1">
      <alignment horizontal="center" vertical="center" wrapText="1"/>
    </xf>
    <xf numFmtId="0" fontId="63" fillId="20" borderId="35" xfId="0" applyFont="1" applyFill="1" applyBorder="1" applyAlignment="1">
      <alignment horizontal="center" vertical="center" wrapText="1"/>
    </xf>
    <xf numFmtId="0" fontId="63" fillId="20" borderId="32" xfId="0" applyFont="1" applyFill="1" applyBorder="1" applyAlignment="1">
      <alignment horizontal="center" vertical="center" wrapText="1"/>
    </xf>
    <xf numFmtId="0" fontId="63" fillId="20" borderId="24" xfId="0" applyFont="1" applyFill="1" applyBorder="1" applyAlignment="1">
      <alignment horizontal="center" vertical="center" wrapText="1"/>
    </xf>
    <xf numFmtId="0" fontId="63" fillId="20" borderId="30" xfId="0" applyFont="1" applyFill="1" applyBorder="1" applyAlignment="1">
      <alignment horizontal="center" vertical="center" wrapText="1"/>
    </xf>
    <xf numFmtId="0" fontId="60" fillId="2" borderId="19" xfId="0" applyFont="1" applyFill="1" applyBorder="1" applyAlignment="1">
      <alignment horizontal="center" vertical="center" wrapText="1"/>
    </xf>
    <xf numFmtId="0" fontId="60" fillId="2" borderId="20" xfId="0" applyFont="1" applyFill="1" applyBorder="1" applyAlignment="1">
      <alignment horizontal="center" vertical="center" wrapText="1"/>
    </xf>
    <xf numFmtId="0" fontId="60" fillId="2" borderId="18" xfId="0" applyFont="1" applyFill="1" applyBorder="1" applyAlignment="1">
      <alignment horizontal="center" vertical="center" wrapText="1"/>
    </xf>
    <xf numFmtId="0" fontId="60" fillId="25" borderId="16" xfId="0" applyFont="1" applyFill="1" applyBorder="1" applyAlignment="1">
      <alignment horizontal="center" vertical="center" wrapText="1"/>
    </xf>
    <xf numFmtId="0" fontId="60" fillId="25" borderId="31" xfId="0" applyFont="1" applyFill="1" applyBorder="1" applyAlignment="1">
      <alignment horizontal="center" vertical="center" wrapText="1"/>
    </xf>
    <xf numFmtId="0" fontId="60" fillId="25" borderId="21" xfId="0" applyFont="1" applyFill="1" applyBorder="1" applyAlignment="1">
      <alignment horizontal="center" vertical="center" wrapText="1"/>
    </xf>
    <xf numFmtId="0" fontId="60" fillId="25" borderId="16" xfId="0" applyFont="1" applyFill="1" applyBorder="1" applyAlignment="1">
      <alignment vertical="center" wrapText="1"/>
    </xf>
    <xf numFmtId="0" fontId="60" fillId="25" borderId="21" xfId="0" applyFont="1" applyFill="1" applyBorder="1" applyAlignment="1">
      <alignment vertical="center" wrapText="1"/>
    </xf>
    <xf numFmtId="0" fontId="65" fillId="0" borderId="16" xfId="0" applyFont="1" applyBorder="1" applyAlignment="1">
      <alignment horizontal="center" vertical="center" wrapText="1"/>
    </xf>
    <xf numFmtId="0" fontId="65" fillId="0" borderId="21" xfId="0" applyFont="1" applyBorder="1" applyAlignment="1">
      <alignment horizontal="center" vertical="center" wrapText="1"/>
    </xf>
    <xf numFmtId="0" fontId="58" fillId="19" borderId="0" xfId="0" applyFont="1" applyFill="1" applyAlignment="1">
      <alignment horizontal="center" vertical="center"/>
    </xf>
    <xf numFmtId="0" fontId="60" fillId="2" borderId="11" xfId="0" applyFont="1" applyFill="1" applyBorder="1" applyAlignment="1">
      <alignment horizontal="center" vertical="center" wrapText="1"/>
    </xf>
    <xf numFmtId="0" fontId="60" fillId="2" borderId="25" xfId="0" applyFont="1" applyFill="1" applyBorder="1" applyAlignment="1">
      <alignment horizontal="center" vertical="center" wrapText="1"/>
    </xf>
    <xf numFmtId="0" fontId="60" fillId="2" borderId="12" xfId="0" applyFont="1" applyFill="1" applyBorder="1" applyAlignment="1">
      <alignment horizontal="center" vertical="center" wrapText="1"/>
    </xf>
    <xf numFmtId="0" fontId="62" fillId="0" borderId="35" xfId="0" applyFont="1" applyBorder="1" applyAlignment="1">
      <alignment vertical="center" wrapText="1"/>
    </xf>
    <xf numFmtId="0" fontId="63" fillId="0" borderId="16" xfId="0" applyFont="1" applyBorder="1" applyAlignment="1">
      <alignment horizontal="center" vertical="center" wrapText="1"/>
    </xf>
    <xf numFmtId="0" fontId="63" fillId="0" borderId="21" xfId="0" applyFont="1" applyBorder="1" applyAlignment="1">
      <alignment horizontal="center" vertical="center" wrapText="1"/>
    </xf>
    <xf numFmtId="0" fontId="58" fillId="19" borderId="29" xfId="0" applyFont="1" applyFill="1" applyBorder="1" applyAlignment="1">
      <alignment horizontal="center" vertical="center"/>
    </xf>
    <xf numFmtId="0" fontId="48" fillId="7" borderId="0" xfId="0" applyFont="1" applyFill="1" applyAlignment="1">
      <alignment horizontal="center" vertical="center"/>
    </xf>
    <xf numFmtId="0" fontId="42" fillId="16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1" fillId="7" borderId="47" xfId="0" applyFont="1" applyFill="1" applyBorder="1" applyAlignment="1">
      <alignment horizontal="center" vertical="center" wrapText="1"/>
    </xf>
    <xf numFmtId="0" fontId="11" fillId="7" borderId="48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16" borderId="11" xfId="0" applyFont="1" applyFill="1" applyBorder="1" applyAlignment="1">
      <alignment horizontal="center" wrapText="1"/>
    </xf>
    <xf numFmtId="0" fontId="11" fillId="16" borderId="11" xfId="0" applyFont="1" applyFill="1" applyBorder="1" applyAlignment="1">
      <alignment horizontal="center"/>
    </xf>
    <xf numFmtId="0" fontId="15" fillId="0" borderId="11" xfId="0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/>
    </xf>
    <xf numFmtId="0" fontId="15" fillId="0" borderId="12" xfId="0" applyFont="1" applyBorder="1" applyAlignment="1">
      <alignment horizontal="left" vertical="top"/>
    </xf>
    <xf numFmtId="0" fontId="15" fillId="0" borderId="11" xfId="0" applyFont="1" applyBorder="1" applyAlignment="1">
      <alignment vertical="top" wrapText="1"/>
    </xf>
    <xf numFmtId="0" fontId="15" fillId="0" borderId="12" xfId="0" applyFont="1" applyBorder="1" applyAlignment="1">
      <alignment vertical="top" wrapText="1"/>
    </xf>
    <xf numFmtId="0" fontId="75" fillId="15" borderId="5" xfId="0" applyFont="1" applyFill="1" applyBorder="1" applyAlignment="1" applyProtection="1">
      <alignment horizontal="center" vertical="center" wrapText="1"/>
      <protection locked="0"/>
    </xf>
    <xf numFmtId="0" fontId="11" fillId="16" borderId="11" xfId="0" applyFont="1" applyFill="1" applyBorder="1" applyAlignment="1" applyProtection="1">
      <alignment horizontal="center" vertical="center" wrapText="1"/>
      <protection locked="0"/>
    </xf>
    <xf numFmtId="0" fontId="5" fillId="6" borderId="16" xfId="0" applyFont="1" applyFill="1" applyBorder="1" applyAlignment="1">
      <alignment horizontal="center" vertical="top" wrapText="1"/>
    </xf>
    <xf numFmtId="0" fontId="5" fillId="6" borderId="31" xfId="0" applyFont="1" applyFill="1" applyBorder="1" applyAlignment="1">
      <alignment horizontal="center" vertical="top" wrapText="1"/>
    </xf>
    <xf numFmtId="0" fontId="5" fillId="6" borderId="21" xfId="0" applyFont="1" applyFill="1" applyBorder="1" applyAlignment="1">
      <alignment horizontal="center" vertical="top" wrapText="1"/>
    </xf>
    <xf numFmtId="0" fontId="5" fillId="6" borderId="16" xfId="0" applyFont="1" applyFill="1" applyBorder="1" applyAlignment="1">
      <alignment vertical="top" wrapText="1"/>
    </xf>
    <xf numFmtId="0" fontId="5" fillId="6" borderId="31" xfId="0" applyFont="1" applyFill="1" applyBorder="1" applyAlignment="1">
      <alignment vertical="top" wrapText="1"/>
    </xf>
    <xf numFmtId="0" fontId="5" fillId="6" borderId="21" xfId="0" applyFont="1" applyFill="1" applyBorder="1" applyAlignment="1">
      <alignment vertical="top" wrapText="1"/>
    </xf>
    <xf numFmtId="0" fontId="5" fillId="0" borderId="16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5" fillId="6" borderId="38" xfId="0" applyFont="1" applyFill="1" applyBorder="1" applyAlignment="1">
      <alignment horizontal="center" vertical="center" wrapText="1"/>
    </xf>
    <xf numFmtId="0" fontId="4" fillId="5" borderId="49" xfId="0" applyFont="1" applyFill="1" applyBorder="1" applyAlignment="1">
      <alignment horizontal="center" vertical="top" wrapText="1"/>
    </xf>
    <xf numFmtId="0" fontId="4" fillId="5" borderId="51" xfId="0" applyFont="1" applyFill="1" applyBorder="1" applyAlignment="1">
      <alignment horizontal="center" vertical="top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7" fillId="0" borderId="16" xfId="0" applyFont="1" applyBorder="1" applyAlignment="1">
      <alignment horizontal="center" vertical="center" wrapText="1"/>
    </xf>
    <xf numFmtId="0" fontId="12" fillId="7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5" borderId="19" xfId="0" applyFont="1" applyFill="1" applyBorder="1" applyAlignment="1">
      <alignment horizontal="center" vertical="top" wrapText="1"/>
    </xf>
    <xf numFmtId="0" fontId="4" fillId="5" borderId="20" xfId="0" applyFont="1" applyFill="1" applyBorder="1" applyAlignment="1">
      <alignment horizontal="center" vertical="top" wrapText="1"/>
    </xf>
    <xf numFmtId="0" fontId="4" fillId="5" borderId="18" xfId="0" applyFont="1" applyFill="1" applyBorder="1" applyAlignment="1">
      <alignment horizontal="center" vertical="top" wrapText="1"/>
    </xf>
    <xf numFmtId="0" fontId="4" fillId="5" borderId="23" xfId="0" applyFont="1" applyFill="1" applyBorder="1" applyAlignment="1">
      <alignment horizontal="center" vertical="top" wrapText="1"/>
    </xf>
    <xf numFmtId="0" fontId="4" fillId="5" borderId="26" xfId="0" applyFont="1" applyFill="1" applyBorder="1" applyAlignment="1">
      <alignment horizontal="center" vertical="top" wrapText="1"/>
    </xf>
    <xf numFmtId="0" fontId="4" fillId="5" borderId="27" xfId="0" applyFont="1" applyFill="1" applyBorder="1" applyAlignment="1">
      <alignment horizontal="center" vertical="top" wrapText="1"/>
    </xf>
    <xf numFmtId="0" fontId="4" fillId="5" borderId="16" xfId="0" applyFont="1" applyFill="1" applyBorder="1" applyAlignment="1">
      <alignment horizontal="center" vertical="top" wrapText="1"/>
    </xf>
    <xf numFmtId="0" fontId="4" fillId="5" borderId="21" xfId="0" applyFont="1" applyFill="1" applyBorder="1" applyAlignment="1">
      <alignment horizontal="center" vertical="top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top" wrapText="1"/>
    </xf>
    <xf numFmtId="0" fontId="4" fillId="5" borderId="42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50" xfId="0" applyFont="1" applyFill="1" applyBorder="1" applyAlignment="1">
      <alignment horizontal="center" vertical="top" wrapText="1"/>
    </xf>
    <xf numFmtId="0" fontId="52" fillId="7" borderId="0" xfId="0" applyFont="1" applyFill="1" applyAlignment="1">
      <alignment horizontal="center"/>
    </xf>
    <xf numFmtId="0" fontId="49" fillId="0" borderId="1" xfId="0" applyFont="1" applyBorder="1" applyAlignment="1">
      <alignment horizontal="center"/>
    </xf>
    <xf numFmtId="0" fontId="49" fillId="0" borderId="2" xfId="0" applyFont="1" applyBorder="1" applyAlignment="1">
      <alignment horizontal="center"/>
    </xf>
    <xf numFmtId="0" fontId="4" fillId="5" borderId="36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top" wrapText="1"/>
    </xf>
    <xf numFmtId="0" fontId="4" fillId="5" borderId="7" xfId="0" applyFont="1" applyFill="1" applyBorder="1" applyAlignment="1">
      <alignment horizontal="center" vertical="top" wrapText="1"/>
    </xf>
    <xf numFmtId="0" fontId="4" fillId="5" borderId="8" xfId="0" applyFont="1" applyFill="1" applyBorder="1" applyAlignment="1">
      <alignment horizontal="center" vertical="top" wrapText="1"/>
    </xf>
    <xf numFmtId="0" fontId="4" fillId="5" borderId="36" xfId="0" applyFont="1" applyFill="1" applyBorder="1" applyAlignment="1">
      <alignment horizontal="center" vertical="top" wrapText="1"/>
    </xf>
    <xf numFmtId="0" fontId="76" fillId="5" borderId="18" xfId="0" applyFont="1" applyFill="1" applyBorder="1" applyAlignment="1">
      <alignment horizontal="center" vertical="center"/>
    </xf>
    <xf numFmtId="0" fontId="56" fillId="27" borderId="15" xfId="0" applyFont="1" applyFill="1" applyBorder="1" applyAlignment="1">
      <alignment horizontal="left" vertical="top" wrapText="1"/>
    </xf>
    <xf numFmtId="0" fontId="15" fillId="27" borderId="15" xfId="0" applyFont="1" applyFill="1" applyBorder="1" applyAlignment="1">
      <alignment horizontal="left" vertical="top" wrapText="1"/>
    </xf>
    <xf numFmtId="0" fontId="0" fillId="0" borderId="0" xfId="0" applyBorder="1"/>
    <xf numFmtId="0" fontId="71" fillId="0" borderId="15" xfId="0" applyFont="1" applyBorder="1" applyAlignment="1">
      <alignment horizontal="center" vertical="center"/>
    </xf>
    <xf numFmtId="0" fontId="71" fillId="0" borderId="15" xfId="0" applyFont="1" applyBorder="1"/>
    <xf numFmtId="0" fontId="15" fillId="0" borderId="15" xfId="0" applyFont="1" applyBorder="1" applyAlignment="1">
      <alignment vertical="top" wrapText="1"/>
    </xf>
    <xf numFmtId="0" fontId="15" fillId="0" borderId="15" xfId="0" quotePrefix="1" applyFont="1" applyBorder="1" applyAlignment="1">
      <alignment vertical="top" wrapText="1"/>
    </xf>
    <xf numFmtId="0" fontId="15" fillId="0" borderId="15" xfId="0" quotePrefix="1" applyFont="1" applyBorder="1" applyAlignment="1">
      <alignment horizontal="left" vertical="top" wrapText="1"/>
    </xf>
    <xf numFmtId="0" fontId="70" fillId="0" borderId="15" xfId="0" applyFont="1" applyBorder="1" applyAlignment="1">
      <alignment vertical="top" wrapText="1"/>
    </xf>
    <xf numFmtId="0" fontId="15" fillId="0" borderId="15" xfId="0" applyFont="1" applyBorder="1" applyAlignment="1">
      <alignment horizontal="left" vertical="top" wrapText="1"/>
    </xf>
    <xf numFmtId="0" fontId="70" fillId="0" borderId="15" xfId="0" quotePrefix="1" applyFont="1" applyBorder="1" applyAlignment="1">
      <alignment vertical="top" wrapText="1"/>
    </xf>
    <xf numFmtId="0" fontId="70" fillId="0" borderId="15" xfId="0" quotePrefix="1" applyFont="1" applyBorder="1" applyAlignment="1">
      <alignment horizontal="left" vertical="top" wrapText="1"/>
    </xf>
    <xf numFmtId="0" fontId="69" fillId="0" borderId="15" xfId="0" applyFont="1" applyBorder="1" applyAlignment="1">
      <alignment horizontal="left" vertical="top" wrapText="1"/>
    </xf>
    <xf numFmtId="0" fontId="70" fillId="0" borderId="15" xfId="0" applyFont="1" applyBorder="1" applyAlignment="1">
      <alignment horizontal="left" vertical="top" wrapText="1"/>
    </xf>
    <xf numFmtId="0" fontId="0" fillId="0" borderId="15" xfId="0" applyBorder="1"/>
    <xf numFmtId="0" fontId="72" fillId="27" borderId="15" xfId="0" applyFont="1" applyFill="1" applyBorder="1" applyAlignment="1">
      <alignment horizontal="center" vertical="center" wrapText="1"/>
    </xf>
    <xf numFmtId="0" fontId="11" fillId="27" borderId="15" xfId="0" applyFont="1" applyFill="1" applyBorder="1" applyAlignment="1">
      <alignment horizontal="center" vertical="center" wrapText="1"/>
    </xf>
    <xf numFmtId="0" fontId="11" fillId="16" borderId="15" xfId="0" applyFont="1" applyFill="1" applyBorder="1" applyAlignment="1">
      <alignment horizontal="center" vertical="center" wrapText="1"/>
    </xf>
    <xf numFmtId="0" fontId="76" fillId="26" borderId="15" xfId="0" applyFont="1" applyFill="1" applyBorder="1" applyAlignment="1">
      <alignment horizontal="center" vertical="center"/>
    </xf>
  </cellXfs>
  <cellStyles count="4">
    <cellStyle name="Normal" xfId="0" builtinId="0"/>
    <cellStyle name="Normal 3" xfId="3" xr:uid="{00000000-0005-0000-0000-000001000000}"/>
    <cellStyle name="Normal 5" xfId="1" xr:uid="{00000000-0005-0000-0000-000002000000}"/>
    <cellStyle name="Percent" xfId="2" builtinId="5"/>
  </cellStyles>
  <dxfs count="128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120428</xdr:colOff>
      <xdr:row>5</xdr:row>
      <xdr:rowOff>32845</xdr:rowOff>
    </xdr:from>
    <xdr:to>
      <xdr:col>21</xdr:col>
      <xdr:colOff>471869</xdr:colOff>
      <xdr:row>11</xdr:row>
      <xdr:rowOff>343531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7066" y="1007242"/>
          <a:ext cx="3663294" cy="205091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120428</xdr:colOff>
      <xdr:row>5</xdr:row>
      <xdr:rowOff>32845</xdr:rowOff>
    </xdr:from>
    <xdr:to>
      <xdr:col>21</xdr:col>
      <xdr:colOff>471869</xdr:colOff>
      <xdr:row>8</xdr:row>
      <xdr:rowOff>810695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7428" y="1004395"/>
          <a:ext cx="3780441" cy="227645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290513</xdr:colOff>
      <xdr:row>1</xdr:row>
      <xdr:rowOff>71438</xdr:rowOff>
    </xdr:from>
    <xdr:to>
      <xdr:col>10</xdr:col>
      <xdr:colOff>230823</xdr:colOff>
      <xdr:row>30</xdr:row>
      <xdr:rowOff>37605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8E34B-F24D-4DC0-9CC4-DD81ADE88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3" y="255588"/>
          <a:ext cx="6036310" cy="53065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179472</xdr:colOff>
      <xdr:row>0</xdr:row>
      <xdr:rowOff>33339</xdr:rowOff>
    </xdr:from>
    <xdr:to>
      <xdr:col>10</xdr:col>
      <xdr:colOff>472440</xdr:colOff>
      <xdr:row>27</xdr:row>
      <xdr:rowOff>77891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AF129-22DA-4609-959E-BCA7A5F0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472" y="33339"/>
          <a:ext cx="6388968" cy="5016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6"/>
  <sheetViews>
    <sheetView topLeftCell="H313" zoomScale="80" zoomScaleNormal="80" workbookViewId="0">
      <selection activeCell="K443" sqref="K443"/>
    </sheetView>
  </sheetViews>
  <sheetFormatPr defaultRowHeight="14.4"/>
  <cols>
    <col min="5" max="5" width="24.88671875" customWidth="1"/>
    <col min="6" max="6" width="43.88671875" customWidth="1"/>
    <col min="7" max="7" width="40.88671875" customWidth="1"/>
    <col min="9" max="9" width="29.88671875" customWidth="1"/>
    <col min="10" max="10" width="38.33203125" bestFit="1" customWidth="1"/>
    <col min="11" max="11" width="37.33203125" bestFit="1" customWidth="1"/>
    <col min="12" max="12" width="35.109375" bestFit="1" customWidth="1"/>
    <col min="13" max="13" width="35.88671875" bestFit="1" customWidth="1"/>
    <col min="14" max="14" width="28.109375" bestFit="1" customWidth="1"/>
    <col min="15" max="15" width="25" bestFit="1" customWidth="1"/>
    <col min="16" max="16" width="13.33203125" bestFit="1" customWidth="1"/>
    <col min="17" max="17" width="33.33203125" bestFit="1" customWidth="1"/>
    <col min="18" max="18" width="15.88671875" bestFit="1" customWidth="1"/>
    <col min="19" max="19" width="23.33203125" bestFit="1" customWidth="1"/>
    <col min="20" max="20" width="7.109375" bestFit="1" customWidth="1"/>
    <col min="21" max="21" width="13.88671875" bestFit="1" customWidth="1"/>
  </cols>
  <sheetData>
    <row r="1" spans="1:2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9" t="s">
        <v>0</v>
      </c>
      <c r="J1" s="9" t="s">
        <v>0</v>
      </c>
      <c r="K1" s="9" t="s">
        <v>0</v>
      </c>
      <c r="L1" s="9" t="s">
        <v>0</v>
      </c>
      <c r="M1" s="9" t="s">
        <v>0</v>
      </c>
      <c r="N1" s="9" t="s">
        <v>0</v>
      </c>
      <c r="O1" s="9" t="s">
        <v>0</v>
      </c>
      <c r="P1" s="11" t="s">
        <v>0</v>
      </c>
      <c r="Q1" s="11" t="s">
        <v>0</v>
      </c>
      <c r="R1" s="11" t="s">
        <v>0</v>
      </c>
      <c r="S1" s="11" t="s">
        <v>0</v>
      </c>
      <c r="T1" s="3" t="s">
        <v>0</v>
      </c>
      <c r="U1" s="3" t="s">
        <v>1</v>
      </c>
    </row>
    <row r="2" spans="1:2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0</v>
      </c>
      <c r="J2" s="6" t="s">
        <v>10</v>
      </c>
      <c r="K2" s="6" t="s">
        <v>0</v>
      </c>
      <c r="L2" s="6" t="s">
        <v>11</v>
      </c>
      <c r="M2" s="6" t="s">
        <v>0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</row>
    <row r="3" spans="1:21">
      <c r="A3" s="4" t="s">
        <v>20</v>
      </c>
      <c r="B3" s="4" t="s">
        <v>3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9</v>
      </c>
      <c r="I3" s="4" t="s">
        <v>0</v>
      </c>
      <c r="J3" s="4" t="s">
        <v>10</v>
      </c>
      <c r="K3" s="4" t="s">
        <v>0</v>
      </c>
      <c r="L3" s="4" t="s">
        <v>11</v>
      </c>
      <c r="M3" s="4" t="s">
        <v>0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0</v>
      </c>
    </row>
    <row r="4" spans="1:21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9</v>
      </c>
      <c r="I4" s="2" t="s">
        <v>0</v>
      </c>
      <c r="J4" s="2" t="s">
        <v>10</v>
      </c>
      <c r="K4" s="2" t="s">
        <v>0</v>
      </c>
      <c r="L4" s="2" t="s">
        <v>11</v>
      </c>
      <c r="M4" s="2" t="s">
        <v>0</v>
      </c>
      <c r="N4" s="2" t="s">
        <v>12</v>
      </c>
      <c r="O4" s="2" t="s">
        <v>13</v>
      </c>
      <c r="P4" s="2" t="s">
        <v>33</v>
      </c>
      <c r="Q4" s="2" t="s">
        <v>15</v>
      </c>
      <c r="R4" s="2" t="s">
        <v>34</v>
      </c>
      <c r="S4" s="2" t="s">
        <v>17</v>
      </c>
      <c r="T4" s="2" t="s">
        <v>35</v>
      </c>
      <c r="U4" s="2" t="s">
        <v>0</v>
      </c>
    </row>
    <row r="5" spans="1:21">
      <c r="A5" s="2" t="s">
        <v>36</v>
      </c>
      <c r="B5" s="2" t="s">
        <v>3</v>
      </c>
      <c r="C5" s="2" t="s">
        <v>37</v>
      </c>
      <c r="D5" s="2" t="s">
        <v>38</v>
      </c>
      <c r="E5" s="2" t="s">
        <v>39</v>
      </c>
      <c r="F5" s="2" t="s">
        <v>7</v>
      </c>
      <c r="G5" s="2" t="s">
        <v>8</v>
      </c>
      <c r="H5" s="2" t="s">
        <v>9</v>
      </c>
      <c r="I5" s="2" t="s">
        <v>0</v>
      </c>
      <c r="J5" s="2" t="s">
        <v>10</v>
      </c>
      <c r="K5" s="2" t="s">
        <v>0</v>
      </c>
      <c r="L5" s="2" t="s">
        <v>11</v>
      </c>
      <c r="M5" s="2" t="s">
        <v>0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0</v>
      </c>
    </row>
    <row r="6" spans="1:21">
      <c r="A6" s="2" t="s">
        <v>40</v>
      </c>
      <c r="B6" s="2" t="s">
        <v>27</v>
      </c>
      <c r="C6" s="2" t="s">
        <v>41</v>
      </c>
      <c r="D6" s="2" t="s">
        <v>42</v>
      </c>
      <c r="E6" s="2" t="s">
        <v>43</v>
      </c>
      <c r="F6" s="2" t="s">
        <v>7</v>
      </c>
      <c r="G6" s="2" t="s">
        <v>8</v>
      </c>
      <c r="H6" s="2" t="s">
        <v>9</v>
      </c>
      <c r="I6" s="2" t="s">
        <v>0</v>
      </c>
      <c r="J6" s="2" t="s">
        <v>10</v>
      </c>
      <c r="K6" s="2" t="s">
        <v>0</v>
      </c>
      <c r="L6" s="2" t="s">
        <v>11</v>
      </c>
      <c r="M6" s="2" t="s">
        <v>0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35</v>
      </c>
      <c r="U6" s="2" t="s">
        <v>44</v>
      </c>
    </row>
    <row r="7" spans="1:21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9</v>
      </c>
      <c r="I7" s="2" t="s">
        <v>0</v>
      </c>
      <c r="J7" s="2" t="s">
        <v>10</v>
      </c>
      <c r="K7" s="2" t="s">
        <v>0</v>
      </c>
      <c r="L7" s="2" t="s">
        <v>11</v>
      </c>
      <c r="M7" s="2" t="s">
        <v>0</v>
      </c>
      <c r="N7" s="2" t="s">
        <v>12</v>
      </c>
      <c r="O7" s="2" t="s">
        <v>13</v>
      </c>
      <c r="P7" s="2" t="s">
        <v>14</v>
      </c>
      <c r="Q7" s="2" t="s">
        <v>52</v>
      </c>
      <c r="R7" s="2" t="s">
        <v>53</v>
      </c>
      <c r="S7" s="2" t="s">
        <v>17</v>
      </c>
      <c r="T7" s="2" t="s">
        <v>18</v>
      </c>
      <c r="U7" s="2" t="s">
        <v>54</v>
      </c>
    </row>
    <row r="8" spans="1:21">
      <c r="A8" s="2" t="s">
        <v>55</v>
      </c>
      <c r="B8" s="2" t="s">
        <v>27</v>
      </c>
      <c r="C8" s="2" t="s">
        <v>56</v>
      </c>
      <c r="D8" s="2" t="s">
        <v>57</v>
      </c>
      <c r="E8" s="2" t="s">
        <v>58</v>
      </c>
      <c r="F8" s="2" t="s">
        <v>7</v>
      </c>
      <c r="G8" s="2" t="s">
        <v>8</v>
      </c>
      <c r="H8" s="2" t="s">
        <v>9</v>
      </c>
      <c r="I8" s="2" t="s">
        <v>0</v>
      </c>
      <c r="J8" s="2" t="s">
        <v>10</v>
      </c>
      <c r="K8" s="2" t="s">
        <v>0</v>
      </c>
      <c r="L8" s="2" t="s">
        <v>11</v>
      </c>
      <c r="M8" s="2" t="s">
        <v>0</v>
      </c>
      <c r="N8" s="2" t="s">
        <v>12</v>
      </c>
      <c r="O8" s="2" t="s">
        <v>13</v>
      </c>
      <c r="P8" s="2" t="s">
        <v>14</v>
      </c>
      <c r="Q8" s="2" t="s">
        <v>52</v>
      </c>
      <c r="R8" s="2" t="s">
        <v>53</v>
      </c>
      <c r="S8" s="2" t="s">
        <v>17</v>
      </c>
      <c r="T8" s="2" t="s">
        <v>35</v>
      </c>
      <c r="U8" s="2" t="s">
        <v>0</v>
      </c>
    </row>
    <row r="9" spans="1:21">
      <c r="A9" s="2" t="s">
        <v>59</v>
      </c>
      <c r="B9" s="2" t="s">
        <v>46</v>
      </c>
      <c r="C9" s="2" t="s">
        <v>60</v>
      </c>
      <c r="D9" s="2" t="s">
        <v>61</v>
      </c>
      <c r="E9" s="2" t="s">
        <v>62</v>
      </c>
      <c r="F9" s="2" t="s">
        <v>7</v>
      </c>
      <c r="G9" s="2" t="s">
        <v>8</v>
      </c>
      <c r="H9" s="2" t="s">
        <v>9</v>
      </c>
      <c r="I9" s="2" t="s">
        <v>0</v>
      </c>
      <c r="J9" s="2" t="s">
        <v>10</v>
      </c>
      <c r="K9" s="2" t="s">
        <v>0</v>
      </c>
      <c r="L9" s="2" t="s">
        <v>11</v>
      </c>
      <c r="M9" s="2" t="s">
        <v>0</v>
      </c>
      <c r="N9" s="2" t="s">
        <v>12</v>
      </c>
      <c r="O9" s="2" t="s">
        <v>13</v>
      </c>
      <c r="P9" s="2" t="s">
        <v>14</v>
      </c>
      <c r="Q9" s="2" t="s">
        <v>52</v>
      </c>
      <c r="R9" s="2" t="s">
        <v>53</v>
      </c>
      <c r="S9" s="2" t="s">
        <v>17</v>
      </c>
      <c r="T9" s="2" t="s">
        <v>18</v>
      </c>
      <c r="U9" s="2" t="s">
        <v>0</v>
      </c>
    </row>
    <row r="10" spans="1:21">
      <c r="A10" s="2" t="s">
        <v>63</v>
      </c>
      <c r="B10" s="2" t="s">
        <v>3</v>
      </c>
      <c r="C10" s="2" t="s">
        <v>64</v>
      </c>
      <c r="D10" s="2" t="s">
        <v>65</v>
      </c>
      <c r="E10" s="2" t="s">
        <v>66</v>
      </c>
      <c r="F10" s="2" t="s">
        <v>7</v>
      </c>
      <c r="G10" s="2" t="s">
        <v>8</v>
      </c>
      <c r="H10" s="2" t="s">
        <v>9</v>
      </c>
      <c r="I10" s="2" t="s">
        <v>0</v>
      </c>
      <c r="J10" s="2" t="s">
        <v>10</v>
      </c>
      <c r="K10" s="2" t="s">
        <v>0</v>
      </c>
      <c r="L10" s="2" t="s">
        <v>11</v>
      </c>
      <c r="M10" s="2" t="s">
        <v>0</v>
      </c>
      <c r="N10" s="2" t="s">
        <v>12</v>
      </c>
      <c r="O10" s="2" t="s">
        <v>13</v>
      </c>
      <c r="P10" s="2" t="s">
        <v>14</v>
      </c>
      <c r="Q10" s="2" t="s">
        <v>52</v>
      </c>
      <c r="R10" s="2" t="s">
        <v>53</v>
      </c>
      <c r="S10" s="2" t="s">
        <v>17</v>
      </c>
      <c r="T10" s="2" t="s">
        <v>18</v>
      </c>
      <c r="U10" s="2" t="s">
        <v>0</v>
      </c>
    </row>
    <row r="11" spans="1:21">
      <c r="A11" s="2" t="s">
        <v>67</v>
      </c>
      <c r="B11" s="2" t="s">
        <v>3</v>
      </c>
      <c r="C11" s="2" t="s">
        <v>68</v>
      </c>
      <c r="D11" s="2" t="s">
        <v>69</v>
      </c>
      <c r="E11" s="2" t="s">
        <v>70</v>
      </c>
      <c r="F11" s="2" t="s">
        <v>7</v>
      </c>
      <c r="G11" s="2" t="s">
        <v>8</v>
      </c>
      <c r="H11" s="2" t="s">
        <v>9</v>
      </c>
      <c r="I11" s="2" t="s">
        <v>0</v>
      </c>
      <c r="J11" s="2" t="s">
        <v>10</v>
      </c>
      <c r="K11" s="2" t="s">
        <v>0</v>
      </c>
      <c r="L11" s="2" t="s">
        <v>11</v>
      </c>
      <c r="M11" s="2" t="s">
        <v>0</v>
      </c>
      <c r="N11" s="2" t="s">
        <v>12</v>
      </c>
      <c r="O11" s="2" t="s">
        <v>13</v>
      </c>
      <c r="P11" s="2" t="s">
        <v>14</v>
      </c>
      <c r="Q11" s="2" t="s">
        <v>52</v>
      </c>
      <c r="R11" s="2" t="s">
        <v>53</v>
      </c>
      <c r="S11" s="2" t="s">
        <v>17</v>
      </c>
      <c r="T11" s="2" t="s">
        <v>18</v>
      </c>
      <c r="U11" s="2" t="s">
        <v>0</v>
      </c>
    </row>
    <row r="12" spans="1:21">
      <c r="A12" s="2" t="s">
        <v>71</v>
      </c>
      <c r="B12" s="2" t="s">
        <v>27</v>
      </c>
      <c r="C12" s="2" t="s">
        <v>72</v>
      </c>
      <c r="D12" s="2" t="s">
        <v>73</v>
      </c>
      <c r="E12" s="2" t="s">
        <v>74</v>
      </c>
      <c r="F12" s="2" t="s">
        <v>7</v>
      </c>
      <c r="G12" s="2" t="s">
        <v>8</v>
      </c>
      <c r="H12" s="2" t="s">
        <v>9</v>
      </c>
      <c r="I12" s="2" t="s">
        <v>0</v>
      </c>
      <c r="J12" s="2" t="s">
        <v>10</v>
      </c>
      <c r="K12" s="2" t="s">
        <v>0</v>
      </c>
      <c r="L12" s="2" t="s">
        <v>11</v>
      </c>
      <c r="M12" s="2" t="s">
        <v>0</v>
      </c>
      <c r="N12" s="2" t="s">
        <v>12</v>
      </c>
      <c r="O12" s="2" t="s">
        <v>13</v>
      </c>
      <c r="P12" s="2" t="s">
        <v>14</v>
      </c>
      <c r="Q12" s="2" t="s">
        <v>52</v>
      </c>
      <c r="R12" s="2" t="s">
        <v>53</v>
      </c>
      <c r="S12" s="2" t="s">
        <v>17</v>
      </c>
      <c r="T12" s="2" t="s">
        <v>35</v>
      </c>
      <c r="U12" s="2" t="s">
        <v>0</v>
      </c>
    </row>
    <row r="13" spans="1:21">
      <c r="A13" s="2" t="s">
        <v>75</v>
      </c>
      <c r="B13" s="2" t="s">
        <v>46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81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11</v>
      </c>
      <c r="N13" s="2" t="s">
        <v>12</v>
      </c>
      <c r="O13" s="2" t="s">
        <v>82</v>
      </c>
      <c r="P13" s="2" t="s">
        <v>33</v>
      </c>
      <c r="Q13" s="2" t="s">
        <v>83</v>
      </c>
      <c r="R13" s="2" t="s">
        <v>34</v>
      </c>
      <c r="S13" s="2" t="s">
        <v>84</v>
      </c>
      <c r="T13" s="2" t="s">
        <v>18</v>
      </c>
      <c r="U13" s="2" t="s">
        <v>85</v>
      </c>
    </row>
    <row r="14" spans="1:21">
      <c r="A14" s="2" t="s">
        <v>86</v>
      </c>
      <c r="B14" s="2" t="s">
        <v>46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91</v>
      </c>
      <c r="H14" s="2" t="s">
        <v>92</v>
      </c>
      <c r="I14" s="2" t="s">
        <v>93</v>
      </c>
      <c r="J14" s="2" t="s">
        <v>0</v>
      </c>
      <c r="K14" s="2" t="s">
        <v>0</v>
      </c>
      <c r="L14" s="2" t="s">
        <v>11</v>
      </c>
      <c r="M14" s="2" t="s">
        <v>0</v>
      </c>
      <c r="N14" s="2" t="s">
        <v>12</v>
      </c>
      <c r="O14" s="2" t="s">
        <v>13</v>
      </c>
      <c r="P14" s="2" t="s">
        <v>33</v>
      </c>
      <c r="Q14" s="2" t="s">
        <v>83</v>
      </c>
      <c r="R14" s="2" t="s">
        <v>34</v>
      </c>
      <c r="S14" s="2" t="s">
        <v>84</v>
      </c>
      <c r="T14" s="2" t="s">
        <v>18</v>
      </c>
      <c r="U14" s="2" t="s">
        <v>0</v>
      </c>
    </row>
    <row r="15" spans="1:21">
      <c r="A15" s="2" t="s">
        <v>94</v>
      </c>
      <c r="B15" s="2" t="s">
        <v>46</v>
      </c>
      <c r="C15" s="2" t="s">
        <v>95</v>
      </c>
      <c r="D15" s="2" t="s">
        <v>96</v>
      </c>
      <c r="E15" s="2" t="s">
        <v>97</v>
      </c>
      <c r="F15" s="2" t="s">
        <v>7</v>
      </c>
      <c r="G15" s="2" t="s">
        <v>8</v>
      </c>
      <c r="H15" s="2" t="s">
        <v>92</v>
      </c>
      <c r="I15" s="2" t="s">
        <v>93</v>
      </c>
      <c r="J15" s="2" t="s">
        <v>0</v>
      </c>
      <c r="K15" s="2" t="s">
        <v>0</v>
      </c>
      <c r="L15" s="2" t="s">
        <v>11</v>
      </c>
      <c r="M15" s="2" t="s">
        <v>0</v>
      </c>
      <c r="N15" s="2" t="s">
        <v>12</v>
      </c>
      <c r="O15" s="2" t="s">
        <v>13</v>
      </c>
      <c r="P15" s="2" t="s">
        <v>33</v>
      </c>
      <c r="Q15" s="2" t="s">
        <v>83</v>
      </c>
      <c r="R15" s="2" t="s">
        <v>34</v>
      </c>
      <c r="S15" s="2" t="s">
        <v>84</v>
      </c>
      <c r="T15" s="2" t="s">
        <v>18</v>
      </c>
      <c r="U15" s="2" t="s">
        <v>98</v>
      </c>
    </row>
    <row r="16" spans="1:21">
      <c r="A16" s="2" t="s">
        <v>99</v>
      </c>
      <c r="B16" s="2" t="s">
        <v>27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92</v>
      </c>
      <c r="I16" s="2" t="s">
        <v>93</v>
      </c>
      <c r="J16" s="2" t="s">
        <v>0</v>
      </c>
      <c r="K16" s="2" t="s">
        <v>0</v>
      </c>
      <c r="L16" s="2" t="s">
        <v>11</v>
      </c>
      <c r="M16" s="2" t="s">
        <v>0</v>
      </c>
      <c r="N16" s="2" t="s">
        <v>12</v>
      </c>
      <c r="O16" s="2" t="s">
        <v>13</v>
      </c>
      <c r="P16" s="2" t="s">
        <v>33</v>
      </c>
      <c r="Q16" s="2" t="s">
        <v>83</v>
      </c>
      <c r="R16" s="2" t="s">
        <v>34</v>
      </c>
      <c r="S16" s="2" t="s">
        <v>84</v>
      </c>
      <c r="T16" s="2" t="s">
        <v>35</v>
      </c>
      <c r="U16" s="2" t="s">
        <v>0</v>
      </c>
    </row>
    <row r="17" spans="1:21">
      <c r="A17" s="2" t="s">
        <v>105</v>
      </c>
      <c r="B17" s="2" t="s">
        <v>46</v>
      </c>
      <c r="C17" s="2" t="s">
        <v>106</v>
      </c>
      <c r="D17" s="2" t="s">
        <v>107</v>
      </c>
      <c r="E17" s="2" t="s">
        <v>108</v>
      </c>
      <c r="F17" s="2" t="s">
        <v>90</v>
      </c>
      <c r="G17" s="2" t="s">
        <v>91</v>
      </c>
      <c r="H17" s="2" t="s">
        <v>92</v>
      </c>
      <c r="I17" s="2" t="s">
        <v>93</v>
      </c>
      <c r="J17" s="2" t="s">
        <v>0</v>
      </c>
      <c r="K17" s="2" t="s">
        <v>0</v>
      </c>
      <c r="L17" s="2" t="s">
        <v>11</v>
      </c>
      <c r="M17" s="2" t="s">
        <v>0</v>
      </c>
      <c r="N17" s="2" t="s">
        <v>12</v>
      </c>
      <c r="O17" s="2" t="s">
        <v>13</v>
      </c>
      <c r="P17" s="2" t="s">
        <v>33</v>
      </c>
      <c r="Q17" s="2" t="s">
        <v>83</v>
      </c>
      <c r="R17" s="2" t="s">
        <v>34</v>
      </c>
      <c r="S17" s="2" t="s">
        <v>84</v>
      </c>
      <c r="T17" s="2" t="s">
        <v>18</v>
      </c>
      <c r="U17" s="2" t="s">
        <v>0</v>
      </c>
    </row>
    <row r="18" spans="1:21">
      <c r="A18" s="2" t="s">
        <v>109</v>
      </c>
      <c r="B18" s="2" t="s">
        <v>27</v>
      </c>
      <c r="C18" s="2" t="s">
        <v>110</v>
      </c>
      <c r="D18" s="2" t="s">
        <v>111</v>
      </c>
      <c r="E18" s="2" t="s">
        <v>112</v>
      </c>
      <c r="F18" s="2" t="s">
        <v>103</v>
      </c>
      <c r="G18" s="2" t="s">
        <v>104</v>
      </c>
      <c r="H18" s="2" t="s">
        <v>92</v>
      </c>
      <c r="I18" s="2" t="s">
        <v>93</v>
      </c>
      <c r="J18" s="2" t="s">
        <v>0</v>
      </c>
      <c r="K18" s="2" t="s">
        <v>0</v>
      </c>
      <c r="L18" s="2" t="s">
        <v>11</v>
      </c>
      <c r="M18" s="2" t="s">
        <v>0</v>
      </c>
      <c r="N18" s="2" t="s">
        <v>12</v>
      </c>
      <c r="O18" s="2" t="s">
        <v>13</v>
      </c>
      <c r="P18" s="2" t="s">
        <v>33</v>
      </c>
      <c r="Q18" s="2" t="s">
        <v>83</v>
      </c>
      <c r="R18" s="2" t="s">
        <v>34</v>
      </c>
      <c r="S18" s="2" t="s">
        <v>84</v>
      </c>
      <c r="T18" s="2" t="s">
        <v>35</v>
      </c>
      <c r="U18" s="2" t="s">
        <v>0</v>
      </c>
    </row>
    <row r="19" spans="1:21">
      <c r="A19" s="2" t="s">
        <v>113</v>
      </c>
      <c r="B19" s="2" t="s">
        <v>3</v>
      </c>
      <c r="C19" s="2" t="s">
        <v>114</v>
      </c>
      <c r="D19" s="2" t="s">
        <v>115</v>
      </c>
      <c r="E19" s="2" t="s">
        <v>116</v>
      </c>
      <c r="F19" s="2" t="s">
        <v>7</v>
      </c>
      <c r="G19" s="2" t="s">
        <v>8</v>
      </c>
      <c r="H19" s="2" t="s">
        <v>92</v>
      </c>
      <c r="I19" s="2" t="s">
        <v>93</v>
      </c>
      <c r="J19" s="2" t="s">
        <v>0</v>
      </c>
      <c r="K19" s="2" t="s">
        <v>0</v>
      </c>
      <c r="L19" s="2" t="s">
        <v>11</v>
      </c>
      <c r="M19" s="2" t="s">
        <v>0</v>
      </c>
      <c r="N19" s="2" t="s">
        <v>12</v>
      </c>
      <c r="O19" s="2" t="s">
        <v>13</v>
      </c>
      <c r="P19" s="2" t="s">
        <v>33</v>
      </c>
      <c r="Q19" s="2" t="s">
        <v>83</v>
      </c>
      <c r="R19" s="2" t="s">
        <v>34</v>
      </c>
      <c r="S19" s="2" t="s">
        <v>84</v>
      </c>
      <c r="T19" s="2" t="s">
        <v>18</v>
      </c>
      <c r="U19" s="2" t="s">
        <v>117</v>
      </c>
    </row>
    <row r="20" spans="1:21">
      <c r="A20" s="2" t="s">
        <v>118</v>
      </c>
      <c r="B20" s="2" t="s">
        <v>27</v>
      </c>
      <c r="C20" s="2" t="s">
        <v>119</v>
      </c>
      <c r="D20" s="2" t="s">
        <v>120</v>
      </c>
      <c r="E20" s="2" t="s">
        <v>121</v>
      </c>
      <c r="F20" s="2" t="s">
        <v>103</v>
      </c>
      <c r="G20" s="2" t="s">
        <v>104</v>
      </c>
      <c r="H20" s="2" t="s">
        <v>92</v>
      </c>
      <c r="I20" s="2" t="s">
        <v>93</v>
      </c>
      <c r="J20" s="2" t="s">
        <v>0</v>
      </c>
      <c r="K20" s="2" t="s">
        <v>0</v>
      </c>
      <c r="L20" s="2" t="s">
        <v>11</v>
      </c>
      <c r="M20" s="2" t="s">
        <v>0</v>
      </c>
      <c r="N20" s="2" t="s">
        <v>12</v>
      </c>
      <c r="O20" s="2" t="s">
        <v>13</v>
      </c>
      <c r="P20" s="2" t="s">
        <v>33</v>
      </c>
      <c r="Q20" s="2" t="s">
        <v>83</v>
      </c>
      <c r="R20" s="2" t="s">
        <v>34</v>
      </c>
      <c r="S20" s="2" t="s">
        <v>84</v>
      </c>
      <c r="T20" s="2" t="s">
        <v>35</v>
      </c>
      <c r="U20" s="2" t="s">
        <v>0</v>
      </c>
    </row>
    <row r="21" spans="1:21">
      <c r="A21" s="2" t="s">
        <v>122</v>
      </c>
      <c r="B21" s="2" t="s">
        <v>27</v>
      </c>
      <c r="C21" s="2" t="s">
        <v>123</v>
      </c>
      <c r="D21" s="2" t="s">
        <v>124</v>
      </c>
      <c r="E21" s="2" t="s">
        <v>125</v>
      </c>
      <c r="F21" s="2" t="s">
        <v>103</v>
      </c>
      <c r="G21" s="2" t="s">
        <v>104</v>
      </c>
      <c r="H21" s="2" t="s">
        <v>92</v>
      </c>
      <c r="I21" s="2" t="s">
        <v>93</v>
      </c>
      <c r="J21" s="2" t="s">
        <v>0</v>
      </c>
      <c r="K21" s="2" t="s">
        <v>0</v>
      </c>
      <c r="L21" s="2" t="s">
        <v>11</v>
      </c>
      <c r="M21" s="2" t="s">
        <v>0</v>
      </c>
      <c r="N21" s="2" t="s">
        <v>12</v>
      </c>
      <c r="O21" s="2" t="s">
        <v>13</v>
      </c>
      <c r="P21" s="2" t="s">
        <v>33</v>
      </c>
      <c r="Q21" s="2" t="s">
        <v>83</v>
      </c>
      <c r="R21" s="2" t="s">
        <v>34</v>
      </c>
      <c r="S21" s="2" t="s">
        <v>84</v>
      </c>
      <c r="T21" s="2" t="s">
        <v>35</v>
      </c>
      <c r="U21" s="2" t="s">
        <v>0</v>
      </c>
    </row>
    <row r="22" spans="1:21">
      <c r="A22" s="2" t="s">
        <v>126</v>
      </c>
      <c r="B22" s="2" t="s">
        <v>27</v>
      </c>
      <c r="C22" s="2" t="s">
        <v>127</v>
      </c>
      <c r="D22" s="2" t="s">
        <v>128</v>
      </c>
      <c r="E22" s="2" t="s">
        <v>129</v>
      </c>
      <c r="F22" s="2" t="s">
        <v>103</v>
      </c>
      <c r="G22" s="2" t="s">
        <v>104</v>
      </c>
      <c r="H22" s="2" t="s">
        <v>92</v>
      </c>
      <c r="I22" s="2" t="s">
        <v>93</v>
      </c>
      <c r="J22" s="2" t="s">
        <v>0</v>
      </c>
      <c r="K22" s="2" t="s">
        <v>0</v>
      </c>
      <c r="L22" s="2" t="s">
        <v>11</v>
      </c>
      <c r="M22" s="2" t="s">
        <v>0</v>
      </c>
      <c r="N22" s="2" t="s">
        <v>12</v>
      </c>
      <c r="O22" s="2" t="s">
        <v>13</v>
      </c>
      <c r="P22" s="2" t="s">
        <v>33</v>
      </c>
      <c r="Q22" s="2" t="s">
        <v>83</v>
      </c>
      <c r="R22" s="2" t="s">
        <v>34</v>
      </c>
      <c r="S22" s="2" t="s">
        <v>84</v>
      </c>
      <c r="T22" s="2" t="s">
        <v>35</v>
      </c>
      <c r="U22" s="2" t="s">
        <v>0</v>
      </c>
    </row>
    <row r="23" spans="1:21">
      <c r="A23" s="2" t="s">
        <v>130</v>
      </c>
      <c r="B23" s="2" t="s">
        <v>3</v>
      </c>
      <c r="C23" s="2" t="s">
        <v>131</v>
      </c>
      <c r="D23" s="2" t="s">
        <v>132</v>
      </c>
      <c r="E23" s="2" t="s">
        <v>133</v>
      </c>
      <c r="F23" s="2" t="s">
        <v>134</v>
      </c>
      <c r="G23" s="2" t="s">
        <v>135</v>
      </c>
      <c r="H23" s="2" t="s">
        <v>92</v>
      </c>
      <c r="I23" s="2" t="s">
        <v>93</v>
      </c>
      <c r="J23" s="2" t="s">
        <v>0</v>
      </c>
      <c r="K23" s="2" t="s">
        <v>0</v>
      </c>
      <c r="L23" s="2" t="s">
        <v>11</v>
      </c>
      <c r="M23" s="2" t="s">
        <v>0</v>
      </c>
      <c r="N23" s="2" t="s">
        <v>12</v>
      </c>
      <c r="O23" s="2" t="s">
        <v>13</v>
      </c>
      <c r="P23" s="2" t="s">
        <v>33</v>
      </c>
      <c r="Q23" s="2" t="s">
        <v>83</v>
      </c>
      <c r="R23" s="2" t="s">
        <v>34</v>
      </c>
      <c r="S23" s="2" t="s">
        <v>84</v>
      </c>
      <c r="T23" s="2" t="s">
        <v>18</v>
      </c>
      <c r="U23" s="2" t="s">
        <v>136</v>
      </c>
    </row>
    <row r="24" spans="1:21">
      <c r="A24" s="2" t="s">
        <v>137</v>
      </c>
      <c r="B24" s="2" t="s">
        <v>27</v>
      </c>
      <c r="C24" s="2" t="s">
        <v>138</v>
      </c>
      <c r="D24" s="2" t="s">
        <v>139</v>
      </c>
      <c r="E24" s="2" t="s">
        <v>140</v>
      </c>
      <c r="F24" s="2" t="s">
        <v>103</v>
      </c>
      <c r="G24" s="2" t="s">
        <v>104</v>
      </c>
      <c r="H24" s="2" t="s">
        <v>92</v>
      </c>
      <c r="I24" s="2" t="s">
        <v>93</v>
      </c>
      <c r="J24" s="2" t="s">
        <v>0</v>
      </c>
      <c r="K24" s="2" t="s">
        <v>0</v>
      </c>
      <c r="L24" s="2" t="s">
        <v>11</v>
      </c>
      <c r="M24" s="2" t="s">
        <v>0</v>
      </c>
      <c r="N24" s="2" t="s">
        <v>12</v>
      </c>
      <c r="O24" s="2" t="s">
        <v>13</v>
      </c>
      <c r="P24" s="2" t="s">
        <v>33</v>
      </c>
      <c r="Q24" s="2" t="s">
        <v>83</v>
      </c>
      <c r="R24" s="2" t="s">
        <v>34</v>
      </c>
      <c r="S24" s="2" t="s">
        <v>84</v>
      </c>
      <c r="T24" s="2" t="s">
        <v>35</v>
      </c>
      <c r="U24" s="2" t="s">
        <v>0</v>
      </c>
    </row>
    <row r="25" spans="1:21">
      <c r="A25" s="2" t="s">
        <v>141</v>
      </c>
      <c r="B25" s="2" t="s">
        <v>27</v>
      </c>
      <c r="C25" s="2" t="s">
        <v>142</v>
      </c>
      <c r="D25" s="2" t="s">
        <v>143</v>
      </c>
      <c r="E25" s="2" t="s">
        <v>144</v>
      </c>
      <c r="F25" s="2" t="s">
        <v>103</v>
      </c>
      <c r="G25" s="2" t="s">
        <v>104</v>
      </c>
      <c r="H25" s="2" t="s">
        <v>92</v>
      </c>
      <c r="I25" s="2" t="s">
        <v>93</v>
      </c>
      <c r="J25" s="2" t="s">
        <v>0</v>
      </c>
      <c r="K25" s="2" t="s">
        <v>0</v>
      </c>
      <c r="L25" s="2" t="s">
        <v>11</v>
      </c>
      <c r="M25" s="2" t="s">
        <v>0</v>
      </c>
      <c r="N25" s="2" t="s">
        <v>12</v>
      </c>
      <c r="O25" s="2" t="s">
        <v>13</v>
      </c>
      <c r="P25" s="2" t="s">
        <v>33</v>
      </c>
      <c r="Q25" s="2" t="s">
        <v>83</v>
      </c>
      <c r="R25" s="2" t="s">
        <v>34</v>
      </c>
      <c r="S25" s="2" t="s">
        <v>84</v>
      </c>
      <c r="T25" s="2" t="s">
        <v>35</v>
      </c>
      <c r="U25" s="2" t="s">
        <v>0</v>
      </c>
    </row>
    <row r="26" spans="1:21">
      <c r="A26" s="2" t="s">
        <v>145</v>
      </c>
      <c r="B26" s="2" t="s">
        <v>27</v>
      </c>
      <c r="C26" s="2" t="s">
        <v>146</v>
      </c>
      <c r="D26" s="2" t="s">
        <v>147</v>
      </c>
      <c r="E26" s="2" t="s">
        <v>148</v>
      </c>
      <c r="F26" s="2" t="s">
        <v>103</v>
      </c>
      <c r="G26" s="2" t="s">
        <v>104</v>
      </c>
      <c r="H26" s="2" t="s">
        <v>92</v>
      </c>
      <c r="I26" s="2" t="s">
        <v>93</v>
      </c>
      <c r="J26" s="2" t="s">
        <v>0</v>
      </c>
      <c r="K26" s="2" t="s">
        <v>0</v>
      </c>
      <c r="L26" s="2" t="s">
        <v>11</v>
      </c>
      <c r="M26" s="2" t="s">
        <v>0</v>
      </c>
      <c r="N26" s="2" t="s">
        <v>12</v>
      </c>
      <c r="O26" s="2" t="s">
        <v>13</v>
      </c>
      <c r="P26" s="2" t="s">
        <v>149</v>
      </c>
      <c r="Q26" s="2" t="s">
        <v>150</v>
      </c>
      <c r="R26" s="2" t="s">
        <v>151</v>
      </c>
      <c r="S26" s="2" t="s">
        <v>17</v>
      </c>
      <c r="T26" s="2" t="s">
        <v>35</v>
      </c>
      <c r="U26" s="2" t="s">
        <v>0</v>
      </c>
    </row>
    <row r="27" spans="1:21">
      <c r="A27" s="2" t="s">
        <v>152</v>
      </c>
      <c r="B27" s="2" t="s">
        <v>27</v>
      </c>
      <c r="C27" s="2" t="s">
        <v>153</v>
      </c>
      <c r="D27" s="2" t="s">
        <v>154</v>
      </c>
      <c r="E27" s="2" t="s">
        <v>155</v>
      </c>
      <c r="F27" s="2" t="s">
        <v>103</v>
      </c>
      <c r="G27" s="2" t="s">
        <v>104</v>
      </c>
      <c r="H27" s="2" t="s">
        <v>92</v>
      </c>
      <c r="I27" s="2" t="s">
        <v>93</v>
      </c>
      <c r="J27" s="2" t="s">
        <v>0</v>
      </c>
      <c r="K27" s="2" t="s">
        <v>0</v>
      </c>
      <c r="L27" s="2" t="s">
        <v>11</v>
      </c>
      <c r="M27" s="2" t="s">
        <v>0</v>
      </c>
      <c r="N27" s="2" t="s">
        <v>12</v>
      </c>
      <c r="O27" s="2" t="s">
        <v>13</v>
      </c>
      <c r="P27" s="2" t="s">
        <v>149</v>
      </c>
      <c r="Q27" s="2" t="s">
        <v>156</v>
      </c>
      <c r="R27" s="2" t="s">
        <v>151</v>
      </c>
      <c r="S27" s="2" t="s">
        <v>17</v>
      </c>
      <c r="T27" s="2" t="s">
        <v>35</v>
      </c>
      <c r="U27" s="2" t="s">
        <v>0</v>
      </c>
    </row>
    <row r="28" spans="1:21">
      <c r="A28" s="2" t="s">
        <v>157</v>
      </c>
      <c r="B28" s="2" t="s">
        <v>27</v>
      </c>
      <c r="C28" s="2" t="s">
        <v>158</v>
      </c>
      <c r="D28" s="2" t="s">
        <v>159</v>
      </c>
      <c r="E28" s="2" t="s">
        <v>160</v>
      </c>
      <c r="F28" s="2" t="s">
        <v>103</v>
      </c>
      <c r="G28" s="2" t="s">
        <v>104</v>
      </c>
      <c r="H28" s="2" t="s">
        <v>92</v>
      </c>
      <c r="I28" s="2" t="s">
        <v>93</v>
      </c>
      <c r="J28" s="2" t="s">
        <v>0</v>
      </c>
      <c r="K28" s="2" t="s">
        <v>0</v>
      </c>
      <c r="L28" s="2" t="s">
        <v>11</v>
      </c>
      <c r="M28" s="2" t="s">
        <v>0</v>
      </c>
      <c r="N28" s="2" t="s">
        <v>12</v>
      </c>
      <c r="O28" s="2" t="s">
        <v>13</v>
      </c>
      <c r="P28" s="2" t="s">
        <v>14</v>
      </c>
      <c r="Q28" s="2" t="s">
        <v>52</v>
      </c>
      <c r="R28" s="2" t="s">
        <v>53</v>
      </c>
      <c r="S28" s="2" t="s">
        <v>17</v>
      </c>
      <c r="T28" s="2" t="s">
        <v>35</v>
      </c>
      <c r="U28" s="2" t="s">
        <v>0</v>
      </c>
    </row>
    <row r="29" spans="1:21">
      <c r="A29" s="2" t="s">
        <v>161</v>
      </c>
      <c r="B29" s="2" t="s">
        <v>27</v>
      </c>
      <c r="C29" s="2" t="s">
        <v>162</v>
      </c>
      <c r="D29" s="2" t="s">
        <v>163</v>
      </c>
      <c r="E29" s="2" t="s">
        <v>164</v>
      </c>
      <c r="F29" s="2" t="s">
        <v>103</v>
      </c>
      <c r="G29" s="2" t="s">
        <v>104</v>
      </c>
      <c r="H29" s="2" t="s">
        <v>92</v>
      </c>
      <c r="I29" s="2" t="s">
        <v>93</v>
      </c>
      <c r="J29" s="2" t="s">
        <v>0</v>
      </c>
      <c r="K29" s="2" t="s">
        <v>0</v>
      </c>
      <c r="L29" s="2" t="s">
        <v>11</v>
      </c>
      <c r="M29" s="2" t="s">
        <v>0</v>
      </c>
      <c r="N29" s="2" t="s">
        <v>12</v>
      </c>
      <c r="O29" s="2" t="s">
        <v>13</v>
      </c>
      <c r="P29" s="2" t="s">
        <v>14</v>
      </c>
      <c r="Q29" s="2" t="s">
        <v>52</v>
      </c>
      <c r="R29" s="2" t="s">
        <v>53</v>
      </c>
      <c r="S29" s="2" t="s">
        <v>17</v>
      </c>
      <c r="T29" s="2" t="s">
        <v>35</v>
      </c>
      <c r="U29" s="2" t="s">
        <v>0</v>
      </c>
    </row>
    <row r="30" spans="1:21">
      <c r="A30" s="2" t="s">
        <v>165</v>
      </c>
      <c r="B30" s="2" t="s">
        <v>27</v>
      </c>
      <c r="C30" s="2" t="s">
        <v>166</v>
      </c>
      <c r="D30" s="2" t="s">
        <v>167</v>
      </c>
      <c r="E30" s="2" t="s">
        <v>168</v>
      </c>
      <c r="F30" s="2" t="s">
        <v>103</v>
      </c>
      <c r="G30" s="2" t="s">
        <v>104</v>
      </c>
      <c r="H30" s="2" t="s">
        <v>92</v>
      </c>
      <c r="I30" s="2" t="s">
        <v>93</v>
      </c>
      <c r="J30" s="2" t="s">
        <v>0</v>
      </c>
      <c r="K30" s="2" t="s">
        <v>0</v>
      </c>
      <c r="L30" s="2" t="s">
        <v>11</v>
      </c>
      <c r="M30" s="2" t="s">
        <v>0</v>
      </c>
      <c r="N30" s="2" t="s">
        <v>12</v>
      </c>
      <c r="O30" s="2" t="s">
        <v>13</v>
      </c>
      <c r="P30" s="2" t="s">
        <v>33</v>
      </c>
      <c r="Q30" s="2" t="s">
        <v>52</v>
      </c>
      <c r="R30" s="2" t="s">
        <v>34</v>
      </c>
      <c r="S30" s="2" t="s">
        <v>84</v>
      </c>
      <c r="T30" s="2" t="s">
        <v>35</v>
      </c>
      <c r="U30" s="2" t="s">
        <v>0</v>
      </c>
    </row>
    <row r="31" spans="1:21">
      <c r="A31" s="2" t="s">
        <v>169</v>
      </c>
      <c r="B31" s="2" t="s">
        <v>27</v>
      </c>
      <c r="C31" s="2" t="s">
        <v>170</v>
      </c>
      <c r="D31" s="2" t="s">
        <v>171</v>
      </c>
      <c r="E31" s="2" t="s">
        <v>172</v>
      </c>
      <c r="F31" s="2" t="s">
        <v>103</v>
      </c>
      <c r="G31" s="2" t="s">
        <v>104</v>
      </c>
      <c r="H31" s="2" t="s">
        <v>92</v>
      </c>
      <c r="I31" s="2" t="s">
        <v>93</v>
      </c>
      <c r="J31" s="2" t="s">
        <v>0</v>
      </c>
      <c r="K31" s="2" t="s">
        <v>0</v>
      </c>
      <c r="L31" s="2" t="s">
        <v>11</v>
      </c>
      <c r="M31" s="2" t="s">
        <v>0</v>
      </c>
      <c r="N31" s="2" t="s">
        <v>12</v>
      </c>
      <c r="O31" s="2" t="s">
        <v>13</v>
      </c>
      <c r="P31" s="2" t="s">
        <v>14</v>
      </c>
      <c r="Q31" s="2" t="s">
        <v>52</v>
      </c>
      <c r="R31" s="2" t="s">
        <v>53</v>
      </c>
      <c r="S31" s="2" t="s">
        <v>17</v>
      </c>
      <c r="T31" s="2" t="s">
        <v>35</v>
      </c>
      <c r="U31" s="2" t="s">
        <v>0</v>
      </c>
    </row>
    <row r="32" spans="1:21">
      <c r="A32" s="2" t="s">
        <v>173</v>
      </c>
      <c r="B32" s="2" t="s">
        <v>27</v>
      </c>
      <c r="C32" s="2" t="s">
        <v>174</v>
      </c>
      <c r="D32" s="2" t="s">
        <v>175</v>
      </c>
      <c r="E32" s="2" t="s">
        <v>176</v>
      </c>
      <c r="F32" s="2" t="s">
        <v>103</v>
      </c>
      <c r="G32" s="2" t="s">
        <v>104</v>
      </c>
      <c r="H32" s="2" t="s">
        <v>92</v>
      </c>
      <c r="I32" s="2" t="s">
        <v>93</v>
      </c>
      <c r="J32" s="2" t="s">
        <v>0</v>
      </c>
      <c r="K32" s="2" t="s">
        <v>0</v>
      </c>
      <c r="L32" s="2" t="s">
        <v>11</v>
      </c>
      <c r="M32" s="2" t="s">
        <v>0</v>
      </c>
      <c r="N32" s="2" t="s">
        <v>12</v>
      </c>
      <c r="O32" s="2" t="s">
        <v>13</v>
      </c>
      <c r="P32" s="2" t="s">
        <v>14</v>
      </c>
      <c r="Q32" s="2" t="s">
        <v>52</v>
      </c>
      <c r="R32" s="2" t="s">
        <v>53</v>
      </c>
      <c r="S32" s="2" t="s">
        <v>17</v>
      </c>
      <c r="T32" s="2" t="s">
        <v>35</v>
      </c>
      <c r="U32" s="2" t="s">
        <v>0</v>
      </c>
    </row>
    <row r="33" spans="1:21">
      <c r="A33" s="2" t="s">
        <v>177</v>
      </c>
      <c r="B33" s="2" t="s">
        <v>27</v>
      </c>
      <c r="C33" s="2" t="s">
        <v>178</v>
      </c>
      <c r="D33" s="2" t="s">
        <v>179</v>
      </c>
      <c r="E33" s="2" t="s">
        <v>180</v>
      </c>
      <c r="F33" s="2" t="s">
        <v>103</v>
      </c>
      <c r="G33" s="2" t="s">
        <v>104</v>
      </c>
      <c r="H33" s="2" t="s">
        <v>92</v>
      </c>
      <c r="I33" s="2" t="s">
        <v>93</v>
      </c>
      <c r="J33" s="2" t="s">
        <v>0</v>
      </c>
      <c r="K33" s="2" t="s">
        <v>0</v>
      </c>
      <c r="L33" s="2" t="s">
        <v>11</v>
      </c>
      <c r="M33" s="2" t="s">
        <v>0</v>
      </c>
      <c r="N33" s="2" t="s">
        <v>12</v>
      </c>
      <c r="O33" s="2" t="s">
        <v>13</v>
      </c>
      <c r="P33" s="2" t="s">
        <v>14</v>
      </c>
      <c r="Q33" s="2" t="s">
        <v>52</v>
      </c>
      <c r="R33" s="2" t="s">
        <v>53</v>
      </c>
      <c r="S33" s="2" t="s">
        <v>17</v>
      </c>
      <c r="T33" s="2" t="s">
        <v>35</v>
      </c>
      <c r="U33" s="2" t="s">
        <v>0</v>
      </c>
    </row>
    <row r="34" spans="1:21">
      <c r="A34" s="2" t="s">
        <v>181</v>
      </c>
      <c r="B34" s="2" t="s">
        <v>3</v>
      </c>
      <c r="C34" s="2" t="s">
        <v>182</v>
      </c>
      <c r="D34" s="2" t="s">
        <v>183</v>
      </c>
      <c r="E34" s="2" t="s">
        <v>184</v>
      </c>
      <c r="F34" s="2" t="s">
        <v>185</v>
      </c>
      <c r="G34" s="2" t="s">
        <v>186</v>
      </c>
      <c r="H34" s="2" t="s">
        <v>92</v>
      </c>
      <c r="I34" s="2" t="s">
        <v>93</v>
      </c>
      <c r="J34" s="2" t="s">
        <v>0</v>
      </c>
      <c r="K34" s="2" t="s">
        <v>0</v>
      </c>
      <c r="L34" s="2" t="s">
        <v>11</v>
      </c>
      <c r="M34" s="2" t="s">
        <v>0</v>
      </c>
      <c r="N34" s="2" t="s">
        <v>12</v>
      </c>
      <c r="O34" s="2" t="s">
        <v>13</v>
      </c>
      <c r="P34" s="2" t="s">
        <v>14</v>
      </c>
      <c r="Q34" s="2" t="s">
        <v>52</v>
      </c>
      <c r="R34" s="2" t="s">
        <v>53</v>
      </c>
      <c r="S34" s="2" t="s">
        <v>17</v>
      </c>
      <c r="T34" s="2" t="s">
        <v>18</v>
      </c>
      <c r="U34" s="2" t="s">
        <v>0</v>
      </c>
    </row>
    <row r="35" spans="1:21">
      <c r="A35" s="2" t="s">
        <v>187</v>
      </c>
      <c r="B35" s="2" t="s">
        <v>3</v>
      </c>
      <c r="C35" s="2" t="s">
        <v>188</v>
      </c>
      <c r="D35" s="2" t="s">
        <v>189</v>
      </c>
      <c r="E35" s="2" t="s">
        <v>190</v>
      </c>
      <c r="F35" s="2" t="s">
        <v>185</v>
      </c>
      <c r="G35" s="2" t="s">
        <v>186</v>
      </c>
      <c r="H35" s="2" t="s">
        <v>92</v>
      </c>
      <c r="I35" s="2" t="s">
        <v>93</v>
      </c>
      <c r="J35" s="2" t="s">
        <v>0</v>
      </c>
      <c r="K35" s="2" t="s">
        <v>0</v>
      </c>
      <c r="L35" s="2" t="s">
        <v>11</v>
      </c>
      <c r="M35" s="2" t="s">
        <v>0</v>
      </c>
      <c r="N35" s="2" t="s">
        <v>12</v>
      </c>
      <c r="O35" s="2" t="s">
        <v>13</v>
      </c>
      <c r="P35" s="2" t="s">
        <v>14</v>
      </c>
      <c r="Q35" s="2" t="s">
        <v>52</v>
      </c>
      <c r="R35" s="2" t="s">
        <v>53</v>
      </c>
      <c r="S35" s="2" t="s">
        <v>17</v>
      </c>
      <c r="T35" s="2" t="s">
        <v>18</v>
      </c>
      <c r="U35" s="2" t="s">
        <v>0</v>
      </c>
    </row>
    <row r="36" spans="1:21">
      <c r="A36" s="2" t="s">
        <v>191</v>
      </c>
      <c r="B36" s="2" t="s">
        <v>46</v>
      </c>
      <c r="C36" s="2" t="s">
        <v>192</v>
      </c>
      <c r="D36" s="2" t="s">
        <v>193</v>
      </c>
      <c r="E36" s="2" t="s">
        <v>194</v>
      </c>
      <c r="F36" s="2" t="s">
        <v>195</v>
      </c>
      <c r="G36" s="2" t="s">
        <v>196</v>
      </c>
      <c r="H36" s="2" t="s">
        <v>197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82</v>
      </c>
      <c r="P36" s="2" t="s">
        <v>33</v>
      </c>
      <c r="Q36" s="2" t="s">
        <v>198</v>
      </c>
      <c r="R36" s="2" t="s">
        <v>34</v>
      </c>
      <c r="S36" s="2" t="s">
        <v>84</v>
      </c>
      <c r="T36" s="2" t="s">
        <v>18</v>
      </c>
      <c r="U36" s="2" t="s">
        <v>0</v>
      </c>
    </row>
    <row r="37" spans="1:21">
      <c r="A37" s="2" t="s">
        <v>199</v>
      </c>
      <c r="B37" s="2" t="s">
        <v>3</v>
      </c>
      <c r="C37" s="2" t="s">
        <v>200</v>
      </c>
      <c r="D37" s="2" t="s">
        <v>201</v>
      </c>
      <c r="E37" s="2" t="s">
        <v>202</v>
      </c>
      <c r="F37" s="2" t="s">
        <v>203</v>
      </c>
      <c r="G37" s="2" t="s">
        <v>204</v>
      </c>
      <c r="H37" s="2" t="s">
        <v>197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82</v>
      </c>
      <c r="P37" s="2" t="s">
        <v>33</v>
      </c>
      <c r="Q37" s="2" t="s">
        <v>198</v>
      </c>
      <c r="R37" s="2" t="s">
        <v>34</v>
      </c>
      <c r="S37" s="2" t="s">
        <v>205</v>
      </c>
      <c r="T37" s="2" t="s">
        <v>18</v>
      </c>
      <c r="U37" s="2" t="s">
        <v>0</v>
      </c>
    </row>
    <row r="38" spans="1:21">
      <c r="A38" s="2" t="s">
        <v>206</v>
      </c>
      <c r="B38" s="2" t="s">
        <v>27</v>
      </c>
      <c r="C38" s="2" t="s">
        <v>207</v>
      </c>
      <c r="D38" s="2" t="s">
        <v>208</v>
      </c>
      <c r="E38" s="2" t="s">
        <v>209</v>
      </c>
      <c r="F38" s="2" t="s">
        <v>210</v>
      </c>
      <c r="G38" s="2" t="s">
        <v>211</v>
      </c>
      <c r="H38" s="2" t="s">
        <v>212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213</v>
      </c>
      <c r="N38" s="2" t="s">
        <v>0</v>
      </c>
      <c r="O38" s="2" t="s">
        <v>82</v>
      </c>
      <c r="P38" s="2" t="s">
        <v>14</v>
      </c>
      <c r="Q38" s="2" t="s">
        <v>214</v>
      </c>
      <c r="R38" s="2" t="s">
        <v>16</v>
      </c>
      <c r="S38" s="2" t="s">
        <v>84</v>
      </c>
      <c r="T38" s="2" t="s">
        <v>35</v>
      </c>
      <c r="U38" s="2" t="s">
        <v>215</v>
      </c>
    </row>
    <row r="39" spans="1:21">
      <c r="A39" s="2" t="s">
        <v>216</v>
      </c>
      <c r="B39" s="2" t="s">
        <v>3</v>
      </c>
      <c r="C39" s="2" t="s">
        <v>217</v>
      </c>
      <c r="D39" s="2" t="s">
        <v>218</v>
      </c>
      <c r="E39" s="2" t="s">
        <v>219</v>
      </c>
      <c r="F39" s="2" t="s">
        <v>220</v>
      </c>
      <c r="G39" s="2" t="s">
        <v>221</v>
      </c>
      <c r="H39" s="2" t="s">
        <v>212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213</v>
      </c>
      <c r="N39" s="2" t="s">
        <v>0</v>
      </c>
      <c r="O39" s="2" t="s">
        <v>82</v>
      </c>
      <c r="P39" s="2" t="s">
        <v>33</v>
      </c>
      <c r="Q39" s="2" t="s">
        <v>214</v>
      </c>
      <c r="R39" s="2" t="s">
        <v>34</v>
      </c>
      <c r="S39" s="2" t="s">
        <v>84</v>
      </c>
      <c r="T39" s="2" t="s">
        <v>18</v>
      </c>
      <c r="U39" s="2" t="s">
        <v>0</v>
      </c>
    </row>
    <row r="40" spans="1:21">
      <c r="A40" s="2" t="s">
        <v>222</v>
      </c>
      <c r="B40" s="2" t="s">
        <v>3</v>
      </c>
      <c r="C40" s="2" t="s">
        <v>223</v>
      </c>
      <c r="D40" s="2" t="s">
        <v>224</v>
      </c>
      <c r="E40" s="2" t="s">
        <v>225</v>
      </c>
      <c r="F40" s="2" t="s">
        <v>226</v>
      </c>
      <c r="G40" s="2" t="s">
        <v>227</v>
      </c>
      <c r="H40" s="2" t="s">
        <v>212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213</v>
      </c>
      <c r="N40" s="2" t="s">
        <v>0</v>
      </c>
      <c r="O40" s="2" t="s">
        <v>82</v>
      </c>
      <c r="P40" s="2" t="s">
        <v>14</v>
      </c>
      <c r="Q40" s="2" t="s">
        <v>214</v>
      </c>
      <c r="R40" s="2" t="s">
        <v>16</v>
      </c>
      <c r="S40" s="2" t="s">
        <v>205</v>
      </c>
      <c r="T40" s="2" t="s">
        <v>18</v>
      </c>
      <c r="U40" s="2" t="s">
        <v>0</v>
      </c>
    </row>
    <row r="41" spans="1:21">
      <c r="A41" s="2" t="s">
        <v>228</v>
      </c>
      <c r="B41" s="2" t="s">
        <v>27</v>
      </c>
      <c r="C41" s="2" t="s">
        <v>229</v>
      </c>
      <c r="D41" s="2" t="s">
        <v>230</v>
      </c>
      <c r="E41" s="2" t="s">
        <v>231</v>
      </c>
      <c r="F41" s="2" t="s">
        <v>232</v>
      </c>
      <c r="G41" s="2" t="s">
        <v>233</v>
      </c>
      <c r="H41" s="2" t="s">
        <v>212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213</v>
      </c>
      <c r="N41" s="2" t="s">
        <v>0</v>
      </c>
      <c r="O41" s="2" t="s">
        <v>82</v>
      </c>
      <c r="P41" s="2" t="s">
        <v>33</v>
      </c>
      <c r="Q41" s="2" t="s">
        <v>214</v>
      </c>
      <c r="R41" s="2" t="s">
        <v>34</v>
      </c>
      <c r="S41" s="2" t="s">
        <v>205</v>
      </c>
      <c r="T41" s="2" t="s">
        <v>35</v>
      </c>
      <c r="U41" s="2" t="s">
        <v>0</v>
      </c>
    </row>
    <row r="42" spans="1:21">
      <c r="A42" s="2" t="s">
        <v>234</v>
      </c>
      <c r="B42" s="2" t="s">
        <v>27</v>
      </c>
      <c r="C42" s="2" t="s">
        <v>235</v>
      </c>
      <c r="D42" s="2" t="s">
        <v>236</v>
      </c>
      <c r="E42" s="2" t="s">
        <v>237</v>
      </c>
      <c r="F42" s="2" t="s">
        <v>210</v>
      </c>
      <c r="G42" s="2" t="s">
        <v>211</v>
      </c>
      <c r="H42" s="2" t="s">
        <v>212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213</v>
      </c>
      <c r="N42" s="2" t="s">
        <v>0</v>
      </c>
      <c r="O42" s="2" t="s">
        <v>82</v>
      </c>
      <c r="P42" s="2" t="s">
        <v>14</v>
      </c>
      <c r="Q42" s="2" t="s">
        <v>238</v>
      </c>
      <c r="R42" s="2" t="s">
        <v>16</v>
      </c>
      <c r="S42" s="2" t="s">
        <v>17</v>
      </c>
      <c r="T42" s="2" t="s">
        <v>35</v>
      </c>
      <c r="U42" s="2" t="s">
        <v>239</v>
      </c>
    </row>
    <row r="43" spans="1:21">
      <c r="A43" s="2" t="s">
        <v>240</v>
      </c>
      <c r="B43" s="2" t="s">
        <v>3</v>
      </c>
      <c r="C43" s="2" t="s">
        <v>241</v>
      </c>
      <c r="D43" s="2" t="s">
        <v>242</v>
      </c>
      <c r="E43" s="2" t="s">
        <v>243</v>
      </c>
      <c r="F43" s="2" t="s">
        <v>210</v>
      </c>
      <c r="G43" s="2" t="s">
        <v>211</v>
      </c>
      <c r="H43" s="2" t="s">
        <v>212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213</v>
      </c>
      <c r="N43" s="2" t="s">
        <v>0</v>
      </c>
      <c r="O43" s="2" t="s">
        <v>82</v>
      </c>
      <c r="P43" s="2" t="s">
        <v>14</v>
      </c>
      <c r="Q43" s="2" t="s">
        <v>238</v>
      </c>
      <c r="R43" s="2" t="s">
        <v>16</v>
      </c>
      <c r="S43" s="2" t="s">
        <v>84</v>
      </c>
      <c r="T43" s="2" t="s">
        <v>18</v>
      </c>
      <c r="U43" s="2" t="s">
        <v>244</v>
      </c>
    </row>
    <row r="44" spans="1:21">
      <c r="A44" s="2" t="s">
        <v>245</v>
      </c>
      <c r="B44" s="2" t="s">
        <v>27</v>
      </c>
      <c r="C44" s="2" t="s">
        <v>246</v>
      </c>
      <c r="D44" s="2" t="s">
        <v>247</v>
      </c>
      <c r="E44" s="2" t="s">
        <v>248</v>
      </c>
      <c r="F44" s="2" t="s">
        <v>210</v>
      </c>
      <c r="G44" s="2" t="s">
        <v>211</v>
      </c>
      <c r="H44" s="2" t="s">
        <v>212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213</v>
      </c>
      <c r="N44" s="2" t="s">
        <v>0</v>
      </c>
      <c r="O44" s="2" t="s">
        <v>82</v>
      </c>
      <c r="P44" s="2" t="s">
        <v>14</v>
      </c>
      <c r="Q44" s="2" t="s">
        <v>238</v>
      </c>
      <c r="R44" s="2" t="s">
        <v>16</v>
      </c>
      <c r="S44" s="2" t="s">
        <v>84</v>
      </c>
      <c r="T44" s="2" t="s">
        <v>35</v>
      </c>
      <c r="U44" s="2" t="s">
        <v>249</v>
      </c>
    </row>
    <row r="45" spans="1:21">
      <c r="A45" s="2" t="s">
        <v>250</v>
      </c>
      <c r="B45" s="2" t="s">
        <v>27</v>
      </c>
      <c r="C45" s="2" t="s">
        <v>251</v>
      </c>
      <c r="D45" s="2" t="s">
        <v>252</v>
      </c>
      <c r="E45" s="2" t="s">
        <v>253</v>
      </c>
      <c r="F45" s="2" t="s">
        <v>254</v>
      </c>
      <c r="G45" s="2" t="s">
        <v>254</v>
      </c>
      <c r="H45" s="2" t="s">
        <v>212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213</v>
      </c>
      <c r="N45" s="2" t="s">
        <v>0</v>
      </c>
      <c r="O45" s="2" t="s">
        <v>82</v>
      </c>
      <c r="P45" s="2" t="s">
        <v>33</v>
      </c>
      <c r="Q45" s="2" t="s">
        <v>238</v>
      </c>
      <c r="R45" s="2" t="s">
        <v>34</v>
      </c>
      <c r="S45" s="2" t="s">
        <v>205</v>
      </c>
      <c r="T45" s="2" t="s">
        <v>35</v>
      </c>
      <c r="U45" s="2" t="s">
        <v>255</v>
      </c>
    </row>
    <row r="46" spans="1:21">
      <c r="A46" s="2" t="s">
        <v>256</v>
      </c>
      <c r="B46" s="2" t="s">
        <v>27</v>
      </c>
      <c r="C46" s="2" t="s">
        <v>28</v>
      </c>
      <c r="D46" s="2" t="s">
        <v>257</v>
      </c>
      <c r="E46" s="2" t="s">
        <v>258</v>
      </c>
      <c r="F46" s="2" t="s">
        <v>259</v>
      </c>
      <c r="G46" s="2" t="s">
        <v>260</v>
      </c>
      <c r="H46" s="2" t="s">
        <v>261</v>
      </c>
      <c r="I46" s="2" t="s">
        <v>0</v>
      </c>
      <c r="J46" s="2" t="s">
        <v>0</v>
      </c>
      <c r="K46" s="2" t="s">
        <v>262</v>
      </c>
      <c r="L46" s="2" t="s">
        <v>0</v>
      </c>
      <c r="M46" s="2" t="s">
        <v>213</v>
      </c>
      <c r="N46" s="2" t="s">
        <v>0</v>
      </c>
      <c r="O46" s="2" t="s">
        <v>82</v>
      </c>
      <c r="P46" s="2" t="s">
        <v>33</v>
      </c>
      <c r="Q46" s="2" t="s">
        <v>214</v>
      </c>
      <c r="R46" s="2" t="s">
        <v>34</v>
      </c>
      <c r="S46" s="2" t="s">
        <v>84</v>
      </c>
      <c r="T46" s="2" t="s">
        <v>35</v>
      </c>
      <c r="U46" s="2" t="s">
        <v>0</v>
      </c>
    </row>
    <row r="47" spans="1:21">
      <c r="A47" s="2" t="s">
        <v>263</v>
      </c>
      <c r="B47" s="2" t="s">
        <v>27</v>
      </c>
      <c r="C47" s="2" t="s">
        <v>264</v>
      </c>
      <c r="D47" s="2" t="s">
        <v>265</v>
      </c>
      <c r="E47" s="2" t="s">
        <v>266</v>
      </c>
      <c r="F47" s="2" t="s">
        <v>259</v>
      </c>
      <c r="G47" s="2" t="s">
        <v>260</v>
      </c>
      <c r="H47" s="2" t="s">
        <v>261</v>
      </c>
      <c r="I47" s="2" t="s">
        <v>0</v>
      </c>
      <c r="J47" s="2" t="s">
        <v>0</v>
      </c>
      <c r="K47" s="2" t="s">
        <v>262</v>
      </c>
      <c r="L47" s="2" t="s">
        <v>0</v>
      </c>
      <c r="M47" s="2" t="s">
        <v>213</v>
      </c>
      <c r="N47" s="2" t="s">
        <v>0</v>
      </c>
      <c r="O47" s="2" t="s">
        <v>82</v>
      </c>
      <c r="P47" s="2" t="s">
        <v>33</v>
      </c>
      <c r="Q47" s="2" t="s">
        <v>214</v>
      </c>
      <c r="R47" s="2" t="s">
        <v>34</v>
      </c>
      <c r="S47" s="2" t="s">
        <v>84</v>
      </c>
      <c r="T47" s="2" t="s">
        <v>35</v>
      </c>
      <c r="U47" s="2" t="s">
        <v>267</v>
      </c>
    </row>
    <row r="48" spans="1:21">
      <c r="A48" s="2" t="s">
        <v>268</v>
      </c>
      <c r="B48" s="2" t="s">
        <v>27</v>
      </c>
      <c r="C48" s="2" t="s">
        <v>269</v>
      </c>
      <c r="D48" s="2" t="s">
        <v>270</v>
      </c>
      <c r="E48" s="2" t="s">
        <v>271</v>
      </c>
      <c r="F48" s="2" t="s">
        <v>272</v>
      </c>
      <c r="G48" s="2" t="s">
        <v>273</v>
      </c>
      <c r="H48" s="2" t="s">
        <v>261</v>
      </c>
      <c r="I48" s="2" t="s">
        <v>0</v>
      </c>
      <c r="J48" s="2" t="s">
        <v>0</v>
      </c>
      <c r="K48" s="2" t="s">
        <v>262</v>
      </c>
      <c r="L48" s="2" t="s">
        <v>0</v>
      </c>
      <c r="M48" s="2" t="s">
        <v>213</v>
      </c>
      <c r="N48" s="2" t="s">
        <v>0</v>
      </c>
      <c r="O48" s="2" t="s">
        <v>82</v>
      </c>
      <c r="P48" s="2" t="s">
        <v>33</v>
      </c>
      <c r="Q48" s="2" t="s">
        <v>214</v>
      </c>
      <c r="R48" s="2" t="s">
        <v>34</v>
      </c>
      <c r="S48" s="2" t="s">
        <v>84</v>
      </c>
      <c r="T48" s="2" t="s">
        <v>35</v>
      </c>
      <c r="U48" s="2" t="s">
        <v>0</v>
      </c>
    </row>
    <row r="49" spans="1:21">
      <c r="A49" s="2" t="s">
        <v>274</v>
      </c>
      <c r="B49" s="2" t="s">
        <v>27</v>
      </c>
      <c r="C49" s="2" t="s">
        <v>275</v>
      </c>
      <c r="D49" s="2" t="s">
        <v>276</v>
      </c>
      <c r="E49" s="2" t="s">
        <v>277</v>
      </c>
      <c r="F49" s="2" t="s">
        <v>259</v>
      </c>
      <c r="G49" s="2" t="s">
        <v>260</v>
      </c>
      <c r="H49" s="2" t="s">
        <v>261</v>
      </c>
      <c r="I49" s="2" t="s">
        <v>0</v>
      </c>
      <c r="J49" s="2" t="s">
        <v>0</v>
      </c>
      <c r="K49" s="2" t="s">
        <v>262</v>
      </c>
      <c r="L49" s="2" t="s">
        <v>0</v>
      </c>
      <c r="M49" s="2" t="s">
        <v>213</v>
      </c>
      <c r="N49" s="2" t="s">
        <v>0</v>
      </c>
      <c r="O49" s="2" t="s">
        <v>82</v>
      </c>
      <c r="P49" s="2" t="s">
        <v>33</v>
      </c>
      <c r="Q49" s="2" t="s">
        <v>214</v>
      </c>
      <c r="R49" s="2" t="s">
        <v>34</v>
      </c>
      <c r="S49" s="2" t="s">
        <v>84</v>
      </c>
      <c r="T49" s="2" t="s">
        <v>35</v>
      </c>
      <c r="U49" s="2" t="s">
        <v>278</v>
      </c>
    </row>
    <row r="50" spans="1:21">
      <c r="A50" s="2" t="s">
        <v>279</v>
      </c>
      <c r="B50" s="2" t="s">
        <v>3</v>
      </c>
      <c r="C50" s="2" t="s">
        <v>280</v>
      </c>
      <c r="D50" s="2" t="s">
        <v>281</v>
      </c>
      <c r="E50" s="2" t="s">
        <v>282</v>
      </c>
      <c r="F50" s="2" t="s">
        <v>259</v>
      </c>
      <c r="G50" s="2" t="s">
        <v>260</v>
      </c>
      <c r="H50" s="2" t="s">
        <v>261</v>
      </c>
      <c r="I50" s="2" t="s">
        <v>0</v>
      </c>
      <c r="J50" s="2" t="s">
        <v>0</v>
      </c>
      <c r="K50" s="2" t="s">
        <v>262</v>
      </c>
      <c r="L50" s="2" t="s">
        <v>0</v>
      </c>
      <c r="M50" s="2" t="s">
        <v>213</v>
      </c>
      <c r="N50" s="2" t="s">
        <v>0</v>
      </c>
      <c r="O50" s="2" t="s">
        <v>82</v>
      </c>
      <c r="P50" s="2" t="s">
        <v>33</v>
      </c>
      <c r="Q50" s="2" t="s">
        <v>214</v>
      </c>
      <c r="R50" s="2" t="s">
        <v>34</v>
      </c>
      <c r="S50" s="2" t="s">
        <v>84</v>
      </c>
      <c r="T50" s="2" t="s">
        <v>18</v>
      </c>
      <c r="U50" s="2" t="s">
        <v>0</v>
      </c>
    </row>
    <row r="51" spans="1:21">
      <c r="A51" s="2" t="s">
        <v>283</v>
      </c>
      <c r="B51" s="2" t="s">
        <v>27</v>
      </c>
      <c r="C51" s="2" t="s">
        <v>284</v>
      </c>
      <c r="D51" s="2" t="s">
        <v>285</v>
      </c>
      <c r="E51" s="2" t="s">
        <v>286</v>
      </c>
      <c r="F51" s="2" t="s">
        <v>259</v>
      </c>
      <c r="G51" s="2" t="s">
        <v>260</v>
      </c>
      <c r="H51" s="2" t="s">
        <v>261</v>
      </c>
      <c r="I51" s="2" t="s">
        <v>0</v>
      </c>
      <c r="J51" s="2" t="s">
        <v>0</v>
      </c>
      <c r="K51" s="2" t="s">
        <v>262</v>
      </c>
      <c r="L51" s="2" t="s">
        <v>0</v>
      </c>
      <c r="M51" s="2" t="s">
        <v>213</v>
      </c>
      <c r="N51" s="2" t="s">
        <v>0</v>
      </c>
      <c r="O51" s="2" t="s">
        <v>82</v>
      </c>
      <c r="P51" s="2" t="s">
        <v>33</v>
      </c>
      <c r="Q51" s="2" t="s">
        <v>214</v>
      </c>
      <c r="R51" s="2" t="s">
        <v>34</v>
      </c>
      <c r="S51" s="2" t="s">
        <v>84</v>
      </c>
      <c r="T51" s="2" t="s">
        <v>35</v>
      </c>
      <c r="U51" s="2" t="s">
        <v>0</v>
      </c>
    </row>
    <row r="52" spans="1:21">
      <c r="A52" s="2" t="s">
        <v>287</v>
      </c>
      <c r="B52" s="2" t="s">
        <v>27</v>
      </c>
      <c r="C52" s="2" t="s">
        <v>288</v>
      </c>
      <c r="D52" s="2" t="s">
        <v>289</v>
      </c>
      <c r="E52" s="2" t="s">
        <v>290</v>
      </c>
      <c r="F52" s="2" t="s">
        <v>291</v>
      </c>
      <c r="G52" s="2" t="s">
        <v>292</v>
      </c>
      <c r="H52" s="2" t="s">
        <v>261</v>
      </c>
      <c r="I52" s="2" t="s">
        <v>0</v>
      </c>
      <c r="J52" s="2" t="s">
        <v>0</v>
      </c>
      <c r="K52" s="2" t="s">
        <v>262</v>
      </c>
      <c r="L52" s="2" t="s">
        <v>0</v>
      </c>
      <c r="M52" s="2" t="s">
        <v>213</v>
      </c>
      <c r="N52" s="2" t="s">
        <v>0</v>
      </c>
      <c r="O52" s="2" t="s">
        <v>82</v>
      </c>
      <c r="P52" s="2" t="s">
        <v>33</v>
      </c>
      <c r="Q52" s="2" t="s">
        <v>214</v>
      </c>
      <c r="R52" s="2" t="s">
        <v>34</v>
      </c>
      <c r="S52" s="2" t="s">
        <v>84</v>
      </c>
      <c r="T52" s="2" t="s">
        <v>35</v>
      </c>
      <c r="U52" s="2" t="s">
        <v>0</v>
      </c>
    </row>
    <row r="53" spans="1:21">
      <c r="A53" s="2" t="s">
        <v>293</v>
      </c>
      <c r="B53" s="2" t="s">
        <v>27</v>
      </c>
      <c r="C53" s="2" t="s">
        <v>294</v>
      </c>
      <c r="D53" s="2" t="s">
        <v>295</v>
      </c>
      <c r="E53" s="2" t="s">
        <v>296</v>
      </c>
      <c r="F53" s="2" t="s">
        <v>272</v>
      </c>
      <c r="G53" s="2" t="s">
        <v>273</v>
      </c>
      <c r="H53" s="2" t="s">
        <v>261</v>
      </c>
      <c r="I53" s="2" t="s">
        <v>0</v>
      </c>
      <c r="J53" s="2" t="s">
        <v>0</v>
      </c>
      <c r="K53" s="2" t="s">
        <v>262</v>
      </c>
      <c r="L53" s="2" t="s">
        <v>0</v>
      </c>
      <c r="M53" s="2" t="s">
        <v>213</v>
      </c>
      <c r="N53" s="2" t="s">
        <v>0</v>
      </c>
      <c r="O53" s="2" t="s">
        <v>82</v>
      </c>
      <c r="P53" s="2" t="s">
        <v>33</v>
      </c>
      <c r="Q53" s="2" t="s">
        <v>214</v>
      </c>
      <c r="R53" s="2" t="s">
        <v>34</v>
      </c>
      <c r="S53" s="2" t="s">
        <v>84</v>
      </c>
      <c r="T53" s="2" t="s">
        <v>35</v>
      </c>
      <c r="U53" s="2" t="s">
        <v>297</v>
      </c>
    </row>
    <row r="54" spans="1:21">
      <c r="A54" s="2" t="s">
        <v>298</v>
      </c>
      <c r="B54" s="2" t="s">
        <v>27</v>
      </c>
      <c r="C54" s="2" t="s">
        <v>299</v>
      </c>
      <c r="D54" s="2" t="s">
        <v>300</v>
      </c>
      <c r="E54" s="2" t="s">
        <v>301</v>
      </c>
      <c r="F54" s="2" t="s">
        <v>259</v>
      </c>
      <c r="G54" s="2" t="s">
        <v>260</v>
      </c>
      <c r="H54" s="2" t="s">
        <v>261</v>
      </c>
      <c r="I54" s="2" t="s">
        <v>0</v>
      </c>
      <c r="J54" s="2" t="s">
        <v>0</v>
      </c>
      <c r="K54" s="2" t="s">
        <v>262</v>
      </c>
      <c r="L54" s="2" t="s">
        <v>0</v>
      </c>
      <c r="M54" s="2" t="s">
        <v>213</v>
      </c>
      <c r="N54" s="2" t="s">
        <v>0</v>
      </c>
      <c r="O54" s="2" t="s">
        <v>82</v>
      </c>
      <c r="P54" s="2" t="s">
        <v>33</v>
      </c>
      <c r="Q54" s="2" t="s">
        <v>214</v>
      </c>
      <c r="R54" s="2" t="s">
        <v>34</v>
      </c>
      <c r="S54" s="2" t="s">
        <v>84</v>
      </c>
      <c r="T54" s="2" t="s">
        <v>35</v>
      </c>
      <c r="U54" s="2" t="s">
        <v>0</v>
      </c>
    </row>
    <row r="55" spans="1:21">
      <c r="A55" s="2" t="s">
        <v>302</v>
      </c>
      <c r="B55" s="2" t="s">
        <v>27</v>
      </c>
      <c r="C55" s="2" t="s">
        <v>303</v>
      </c>
      <c r="D55" s="2" t="s">
        <v>304</v>
      </c>
      <c r="E55" s="2" t="s">
        <v>305</v>
      </c>
      <c r="F55" s="2" t="s">
        <v>272</v>
      </c>
      <c r="G55" s="2" t="s">
        <v>273</v>
      </c>
      <c r="H55" s="2" t="s">
        <v>261</v>
      </c>
      <c r="I55" s="2" t="s">
        <v>0</v>
      </c>
      <c r="J55" s="2" t="s">
        <v>0</v>
      </c>
      <c r="K55" s="2" t="s">
        <v>262</v>
      </c>
      <c r="L55" s="2" t="s">
        <v>0</v>
      </c>
      <c r="M55" s="2" t="s">
        <v>213</v>
      </c>
      <c r="N55" s="2" t="s">
        <v>0</v>
      </c>
      <c r="O55" s="2" t="s">
        <v>82</v>
      </c>
      <c r="P55" s="2" t="s">
        <v>33</v>
      </c>
      <c r="Q55" s="2" t="s">
        <v>214</v>
      </c>
      <c r="R55" s="2" t="s">
        <v>34</v>
      </c>
      <c r="S55" s="2" t="s">
        <v>205</v>
      </c>
      <c r="T55" s="2" t="s">
        <v>35</v>
      </c>
      <c r="U55" s="2" t="s">
        <v>0</v>
      </c>
    </row>
    <row r="56" spans="1:21">
      <c r="A56" s="2" t="s">
        <v>306</v>
      </c>
      <c r="B56" s="2" t="s">
        <v>3</v>
      </c>
      <c r="C56" s="2" t="s">
        <v>307</v>
      </c>
      <c r="D56" s="2" t="s">
        <v>308</v>
      </c>
      <c r="E56" s="2" t="s">
        <v>309</v>
      </c>
      <c r="F56" s="2" t="s">
        <v>7</v>
      </c>
      <c r="G56" s="2" t="s">
        <v>8</v>
      </c>
      <c r="H56" s="2" t="s">
        <v>261</v>
      </c>
      <c r="I56" s="2" t="s">
        <v>0</v>
      </c>
      <c r="J56" s="2" t="s">
        <v>0</v>
      </c>
      <c r="K56" s="2" t="s">
        <v>262</v>
      </c>
      <c r="L56" s="2" t="s">
        <v>0</v>
      </c>
      <c r="M56" s="2" t="s">
        <v>213</v>
      </c>
      <c r="N56" s="2" t="s">
        <v>0</v>
      </c>
      <c r="O56" s="2" t="s">
        <v>82</v>
      </c>
      <c r="P56" s="2" t="s">
        <v>33</v>
      </c>
      <c r="Q56" s="2" t="s">
        <v>214</v>
      </c>
      <c r="R56" s="2" t="s">
        <v>34</v>
      </c>
      <c r="S56" s="2" t="s">
        <v>84</v>
      </c>
      <c r="T56" s="2" t="s">
        <v>18</v>
      </c>
      <c r="U56" s="2" t="s">
        <v>0</v>
      </c>
    </row>
    <row r="57" spans="1:21">
      <c r="A57" s="2" t="s">
        <v>310</v>
      </c>
      <c r="B57" s="2" t="s">
        <v>27</v>
      </c>
      <c r="C57" s="2" t="s">
        <v>311</v>
      </c>
      <c r="D57" s="2" t="s">
        <v>312</v>
      </c>
      <c r="E57" s="2" t="s">
        <v>313</v>
      </c>
      <c r="F57" s="2" t="s">
        <v>291</v>
      </c>
      <c r="G57" s="2" t="s">
        <v>292</v>
      </c>
      <c r="H57" s="2" t="s">
        <v>261</v>
      </c>
      <c r="I57" s="2" t="s">
        <v>0</v>
      </c>
      <c r="J57" s="2" t="s">
        <v>0</v>
      </c>
      <c r="K57" s="2" t="s">
        <v>262</v>
      </c>
      <c r="L57" s="2" t="s">
        <v>0</v>
      </c>
      <c r="M57" s="2" t="s">
        <v>213</v>
      </c>
      <c r="N57" s="2" t="s">
        <v>0</v>
      </c>
      <c r="O57" s="2" t="s">
        <v>82</v>
      </c>
      <c r="P57" s="2" t="s">
        <v>33</v>
      </c>
      <c r="Q57" s="2" t="s">
        <v>214</v>
      </c>
      <c r="R57" s="2" t="s">
        <v>34</v>
      </c>
      <c r="S57" s="2" t="s">
        <v>205</v>
      </c>
      <c r="T57" s="2" t="s">
        <v>35</v>
      </c>
      <c r="U57" s="2" t="s">
        <v>0</v>
      </c>
    </row>
    <row r="58" spans="1:21">
      <c r="A58" s="2" t="s">
        <v>314</v>
      </c>
      <c r="B58" s="2" t="s">
        <v>27</v>
      </c>
      <c r="C58" s="2" t="s">
        <v>315</v>
      </c>
      <c r="D58" s="2" t="s">
        <v>316</v>
      </c>
      <c r="E58" s="2" t="s">
        <v>317</v>
      </c>
      <c r="F58" s="2" t="s">
        <v>291</v>
      </c>
      <c r="G58" s="2" t="s">
        <v>292</v>
      </c>
      <c r="H58" s="2" t="s">
        <v>318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213</v>
      </c>
      <c r="N58" s="2" t="s">
        <v>0</v>
      </c>
      <c r="O58" s="2" t="s">
        <v>82</v>
      </c>
      <c r="P58" s="2" t="s">
        <v>33</v>
      </c>
      <c r="Q58" s="2" t="s">
        <v>83</v>
      </c>
      <c r="R58" s="2" t="s">
        <v>34</v>
      </c>
      <c r="S58" s="2" t="s">
        <v>84</v>
      </c>
      <c r="T58" s="2" t="s">
        <v>35</v>
      </c>
      <c r="U58" s="2" t="s">
        <v>319</v>
      </c>
    </row>
    <row r="59" spans="1:21">
      <c r="A59" s="2" t="s">
        <v>320</v>
      </c>
      <c r="B59" s="2" t="s">
        <v>3</v>
      </c>
      <c r="C59" s="2" t="s">
        <v>321</v>
      </c>
      <c r="D59" s="2" t="s">
        <v>322</v>
      </c>
      <c r="E59" s="2" t="s">
        <v>323</v>
      </c>
      <c r="F59" s="2" t="s">
        <v>291</v>
      </c>
      <c r="G59" s="2" t="s">
        <v>292</v>
      </c>
      <c r="H59" s="2" t="s">
        <v>318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213</v>
      </c>
      <c r="N59" s="2" t="s">
        <v>0</v>
      </c>
      <c r="O59" s="2" t="s">
        <v>82</v>
      </c>
      <c r="P59" s="2" t="s">
        <v>33</v>
      </c>
      <c r="Q59" s="2" t="s">
        <v>83</v>
      </c>
      <c r="R59" s="2" t="s">
        <v>34</v>
      </c>
      <c r="S59" s="2" t="s">
        <v>84</v>
      </c>
      <c r="T59" s="2" t="s">
        <v>18</v>
      </c>
      <c r="U59" s="2" t="s">
        <v>324</v>
      </c>
    </row>
    <row r="60" spans="1:21">
      <c r="A60" s="2" t="s">
        <v>325</v>
      </c>
      <c r="B60" s="2" t="s">
        <v>27</v>
      </c>
      <c r="C60" s="2" t="s">
        <v>326</v>
      </c>
      <c r="D60" s="2" t="s">
        <v>327</v>
      </c>
      <c r="E60" s="2" t="s">
        <v>328</v>
      </c>
      <c r="F60" s="2" t="s">
        <v>272</v>
      </c>
      <c r="G60" s="2" t="s">
        <v>273</v>
      </c>
      <c r="H60" s="2" t="s">
        <v>318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213</v>
      </c>
      <c r="N60" s="2" t="s">
        <v>0</v>
      </c>
      <c r="O60" s="2" t="s">
        <v>82</v>
      </c>
      <c r="P60" s="2" t="s">
        <v>33</v>
      </c>
      <c r="Q60" s="2" t="s">
        <v>214</v>
      </c>
      <c r="R60" s="2" t="s">
        <v>34</v>
      </c>
      <c r="S60" s="2" t="s">
        <v>84</v>
      </c>
      <c r="T60" s="2" t="s">
        <v>35</v>
      </c>
      <c r="U60" s="2" t="s">
        <v>0</v>
      </c>
    </row>
    <row r="61" spans="1:21">
      <c r="A61" s="2" t="s">
        <v>329</v>
      </c>
      <c r="B61" s="2" t="s">
        <v>27</v>
      </c>
      <c r="C61" s="2" t="s">
        <v>330</v>
      </c>
      <c r="D61" s="2" t="s">
        <v>331</v>
      </c>
      <c r="E61" s="2" t="s">
        <v>332</v>
      </c>
      <c r="F61" s="2" t="s">
        <v>333</v>
      </c>
      <c r="G61" s="2" t="s">
        <v>334</v>
      </c>
      <c r="H61" s="2" t="s">
        <v>318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213</v>
      </c>
      <c r="N61" s="2" t="s">
        <v>0</v>
      </c>
      <c r="O61" s="2" t="s">
        <v>82</v>
      </c>
      <c r="P61" s="2" t="s">
        <v>33</v>
      </c>
      <c r="Q61" s="2" t="s">
        <v>214</v>
      </c>
      <c r="R61" s="2" t="s">
        <v>34</v>
      </c>
      <c r="S61" s="2" t="s">
        <v>84</v>
      </c>
      <c r="T61" s="2" t="s">
        <v>35</v>
      </c>
      <c r="U61" s="2" t="s">
        <v>335</v>
      </c>
    </row>
    <row r="62" spans="1:21">
      <c r="A62" s="2" t="s">
        <v>336</v>
      </c>
      <c r="B62" s="2" t="s">
        <v>27</v>
      </c>
      <c r="C62" s="2" t="s">
        <v>337</v>
      </c>
      <c r="D62" s="2" t="s">
        <v>338</v>
      </c>
      <c r="E62" s="2" t="s">
        <v>339</v>
      </c>
      <c r="F62" s="2" t="s">
        <v>226</v>
      </c>
      <c r="G62" s="2" t="s">
        <v>227</v>
      </c>
      <c r="H62" s="2" t="s">
        <v>318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213</v>
      </c>
      <c r="N62" s="2" t="s">
        <v>0</v>
      </c>
      <c r="O62" s="2" t="s">
        <v>82</v>
      </c>
      <c r="P62" s="2" t="s">
        <v>33</v>
      </c>
      <c r="Q62" s="2" t="s">
        <v>214</v>
      </c>
      <c r="R62" s="2" t="s">
        <v>34</v>
      </c>
      <c r="S62" s="2" t="s">
        <v>84</v>
      </c>
      <c r="T62" s="2" t="s">
        <v>35</v>
      </c>
      <c r="U62" s="2" t="s">
        <v>340</v>
      </c>
    </row>
    <row r="63" spans="1:21">
      <c r="A63" s="2" t="s">
        <v>341</v>
      </c>
      <c r="B63" s="2" t="s">
        <v>27</v>
      </c>
      <c r="C63" s="2" t="s">
        <v>342</v>
      </c>
      <c r="D63" s="2" t="s">
        <v>343</v>
      </c>
      <c r="E63" s="2" t="s">
        <v>344</v>
      </c>
      <c r="F63" s="2" t="s">
        <v>259</v>
      </c>
      <c r="G63" s="2" t="s">
        <v>260</v>
      </c>
      <c r="H63" s="2" t="s">
        <v>318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213</v>
      </c>
      <c r="N63" s="2" t="s">
        <v>0</v>
      </c>
      <c r="O63" s="2" t="s">
        <v>82</v>
      </c>
      <c r="P63" s="2" t="s">
        <v>33</v>
      </c>
      <c r="Q63" s="2" t="s">
        <v>214</v>
      </c>
      <c r="R63" s="2" t="s">
        <v>34</v>
      </c>
      <c r="S63" s="2" t="s">
        <v>84</v>
      </c>
      <c r="T63" s="2" t="s">
        <v>35</v>
      </c>
      <c r="U63" s="2" t="s">
        <v>0</v>
      </c>
    </row>
    <row r="64" spans="1:21">
      <c r="A64" s="2" t="s">
        <v>345</v>
      </c>
      <c r="B64" s="2" t="s">
        <v>27</v>
      </c>
      <c r="C64" s="2" t="s">
        <v>346</v>
      </c>
      <c r="D64" s="2" t="s">
        <v>347</v>
      </c>
      <c r="E64" s="2" t="s">
        <v>348</v>
      </c>
      <c r="F64" s="2" t="s">
        <v>272</v>
      </c>
      <c r="G64" s="2" t="s">
        <v>273</v>
      </c>
      <c r="H64" s="2" t="s">
        <v>318</v>
      </c>
      <c r="I64" s="2" t="s">
        <v>0</v>
      </c>
      <c r="J64" s="2" t="s">
        <v>0</v>
      </c>
      <c r="K64" s="2" t="s">
        <v>0</v>
      </c>
      <c r="L64" s="2" t="s">
        <v>0</v>
      </c>
      <c r="M64" s="2" t="s">
        <v>213</v>
      </c>
      <c r="N64" s="2" t="s">
        <v>0</v>
      </c>
      <c r="O64" s="2" t="s">
        <v>82</v>
      </c>
      <c r="P64" s="2" t="s">
        <v>33</v>
      </c>
      <c r="Q64" s="2" t="s">
        <v>214</v>
      </c>
      <c r="R64" s="2" t="s">
        <v>34</v>
      </c>
      <c r="S64" s="2" t="s">
        <v>84</v>
      </c>
      <c r="T64" s="2" t="s">
        <v>35</v>
      </c>
      <c r="U64" s="2" t="s">
        <v>0</v>
      </c>
    </row>
    <row r="65" spans="1:21">
      <c r="A65" s="2" t="s">
        <v>349</v>
      </c>
      <c r="B65" s="2" t="s">
        <v>27</v>
      </c>
      <c r="C65" s="2" t="s">
        <v>350</v>
      </c>
      <c r="D65" s="2" t="s">
        <v>351</v>
      </c>
      <c r="E65" s="2" t="s">
        <v>352</v>
      </c>
      <c r="F65" s="2" t="s">
        <v>259</v>
      </c>
      <c r="G65" s="2" t="s">
        <v>260</v>
      </c>
      <c r="H65" s="2" t="s">
        <v>318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213</v>
      </c>
      <c r="N65" s="2" t="s">
        <v>0</v>
      </c>
      <c r="O65" s="2" t="s">
        <v>82</v>
      </c>
      <c r="P65" s="2" t="s">
        <v>33</v>
      </c>
      <c r="Q65" s="2" t="s">
        <v>214</v>
      </c>
      <c r="R65" s="2" t="s">
        <v>34</v>
      </c>
      <c r="S65" s="2" t="s">
        <v>84</v>
      </c>
      <c r="T65" s="2" t="s">
        <v>35</v>
      </c>
      <c r="U65" s="2" t="s">
        <v>0</v>
      </c>
    </row>
    <row r="66" spans="1:21">
      <c r="A66" s="2" t="s">
        <v>353</v>
      </c>
      <c r="B66" s="2" t="s">
        <v>27</v>
      </c>
      <c r="C66" s="2" t="s">
        <v>354</v>
      </c>
      <c r="D66" s="2" t="s">
        <v>355</v>
      </c>
      <c r="E66" s="2" t="s">
        <v>356</v>
      </c>
      <c r="F66" s="2" t="s">
        <v>226</v>
      </c>
      <c r="G66" s="2" t="s">
        <v>227</v>
      </c>
      <c r="H66" s="2" t="s">
        <v>318</v>
      </c>
      <c r="I66" s="2" t="s">
        <v>0</v>
      </c>
      <c r="J66" s="2" t="s">
        <v>0</v>
      </c>
      <c r="K66" s="2" t="s">
        <v>0</v>
      </c>
      <c r="L66" s="2" t="s">
        <v>0</v>
      </c>
      <c r="M66" s="2" t="s">
        <v>213</v>
      </c>
      <c r="N66" s="2" t="s">
        <v>0</v>
      </c>
      <c r="O66" s="2" t="s">
        <v>82</v>
      </c>
      <c r="P66" s="2" t="s">
        <v>33</v>
      </c>
      <c r="Q66" s="2" t="s">
        <v>214</v>
      </c>
      <c r="R66" s="2" t="s">
        <v>34</v>
      </c>
      <c r="S66" s="2" t="s">
        <v>205</v>
      </c>
      <c r="T66" s="2" t="s">
        <v>35</v>
      </c>
      <c r="U66" s="2" t="s">
        <v>0</v>
      </c>
    </row>
    <row r="67" spans="1:21">
      <c r="A67" s="2" t="s">
        <v>357</v>
      </c>
      <c r="B67" s="2" t="s">
        <v>27</v>
      </c>
      <c r="C67" s="2" t="s">
        <v>358</v>
      </c>
      <c r="D67" s="2" t="s">
        <v>359</v>
      </c>
      <c r="E67" s="2" t="s">
        <v>360</v>
      </c>
      <c r="F67" s="2" t="s">
        <v>259</v>
      </c>
      <c r="G67" s="2" t="s">
        <v>260</v>
      </c>
      <c r="H67" s="2" t="s">
        <v>318</v>
      </c>
      <c r="I67" s="2" t="s">
        <v>0</v>
      </c>
      <c r="J67" s="2" t="s">
        <v>0</v>
      </c>
      <c r="K67" s="2" t="s">
        <v>0</v>
      </c>
      <c r="L67" s="2" t="s">
        <v>0</v>
      </c>
      <c r="M67" s="2" t="s">
        <v>213</v>
      </c>
      <c r="N67" s="2" t="s">
        <v>0</v>
      </c>
      <c r="O67" s="2" t="s">
        <v>82</v>
      </c>
      <c r="P67" s="2" t="s">
        <v>33</v>
      </c>
      <c r="Q67" s="2" t="s">
        <v>214</v>
      </c>
      <c r="R67" s="2" t="s">
        <v>34</v>
      </c>
      <c r="S67" s="2" t="s">
        <v>205</v>
      </c>
      <c r="T67" s="2" t="s">
        <v>35</v>
      </c>
      <c r="U67" s="2" t="s">
        <v>0</v>
      </c>
    </row>
    <row r="68" spans="1:21">
      <c r="A68" s="2" t="s">
        <v>361</v>
      </c>
      <c r="B68" s="2" t="s">
        <v>27</v>
      </c>
      <c r="C68" s="2" t="s">
        <v>362</v>
      </c>
      <c r="D68" s="2" t="s">
        <v>363</v>
      </c>
      <c r="E68" s="2" t="s">
        <v>364</v>
      </c>
      <c r="F68" s="2" t="s">
        <v>272</v>
      </c>
      <c r="G68" s="2" t="s">
        <v>273</v>
      </c>
      <c r="H68" s="2" t="s">
        <v>318</v>
      </c>
      <c r="I68" s="2" t="s">
        <v>0</v>
      </c>
      <c r="J68" s="2" t="s">
        <v>0</v>
      </c>
      <c r="K68" s="2" t="s">
        <v>0</v>
      </c>
      <c r="L68" s="2" t="s">
        <v>0</v>
      </c>
      <c r="M68" s="2" t="s">
        <v>213</v>
      </c>
      <c r="N68" s="2" t="s">
        <v>0</v>
      </c>
      <c r="O68" s="2" t="s">
        <v>82</v>
      </c>
      <c r="P68" s="2" t="s">
        <v>33</v>
      </c>
      <c r="Q68" s="2" t="s">
        <v>214</v>
      </c>
      <c r="R68" s="2" t="s">
        <v>34</v>
      </c>
      <c r="S68" s="2" t="s">
        <v>205</v>
      </c>
      <c r="T68" s="2" t="s">
        <v>35</v>
      </c>
      <c r="U68" s="2" t="s">
        <v>0</v>
      </c>
    </row>
    <row r="69" spans="1:21">
      <c r="A69" s="2" t="s">
        <v>365</v>
      </c>
      <c r="B69" s="2" t="s">
        <v>3</v>
      </c>
      <c r="C69" s="2" t="s">
        <v>366</v>
      </c>
      <c r="D69" s="2" t="s">
        <v>367</v>
      </c>
      <c r="E69" s="2" t="s">
        <v>368</v>
      </c>
      <c r="F69" s="2" t="s">
        <v>272</v>
      </c>
      <c r="G69" s="2" t="s">
        <v>273</v>
      </c>
      <c r="H69" s="2" t="s">
        <v>369</v>
      </c>
      <c r="I69" s="2" t="s">
        <v>0</v>
      </c>
      <c r="J69" s="2" t="s">
        <v>0</v>
      </c>
      <c r="K69" s="2" t="s">
        <v>0</v>
      </c>
      <c r="L69" s="2" t="s">
        <v>0</v>
      </c>
      <c r="M69" s="2" t="s">
        <v>213</v>
      </c>
      <c r="N69" s="2" t="s">
        <v>0</v>
      </c>
      <c r="O69" s="2" t="s">
        <v>82</v>
      </c>
      <c r="P69" s="2" t="s">
        <v>33</v>
      </c>
      <c r="Q69" s="2" t="s">
        <v>214</v>
      </c>
      <c r="R69" s="2" t="s">
        <v>34</v>
      </c>
      <c r="S69" s="2" t="s">
        <v>84</v>
      </c>
      <c r="T69" s="2" t="s">
        <v>18</v>
      </c>
      <c r="U69" s="2" t="s">
        <v>0</v>
      </c>
    </row>
    <row r="70" spans="1:21">
      <c r="A70" s="2" t="s">
        <v>370</v>
      </c>
      <c r="B70" s="2" t="s">
        <v>3</v>
      </c>
      <c r="C70" s="2" t="s">
        <v>371</v>
      </c>
      <c r="D70" s="2" t="s">
        <v>372</v>
      </c>
      <c r="E70" s="2" t="s">
        <v>373</v>
      </c>
      <c r="F70" s="2" t="s">
        <v>272</v>
      </c>
      <c r="G70" s="2" t="s">
        <v>273</v>
      </c>
      <c r="H70" s="2" t="s">
        <v>369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213</v>
      </c>
      <c r="N70" s="2" t="s">
        <v>0</v>
      </c>
      <c r="O70" s="2" t="s">
        <v>82</v>
      </c>
      <c r="P70" s="2" t="s">
        <v>33</v>
      </c>
      <c r="Q70" s="2" t="s">
        <v>214</v>
      </c>
      <c r="R70" s="2" t="s">
        <v>34</v>
      </c>
      <c r="S70" s="2" t="s">
        <v>84</v>
      </c>
      <c r="T70" s="2" t="s">
        <v>18</v>
      </c>
      <c r="U70" s="2" t="s">
        <v>0</v>
      </c>
    </row>
    <row r="71" spans="1:21">
      <c r="A71" s="2" t="s">
        <v>374</v>
      </c>
      <c r="B71" s="2" t="s">
        <v>3</v>
      </c>
      <c r="C71" s="2" t="s">
        <v>375</v>
      </c>
      <c r="D71" s="2" t="s">
        <v>376</v>
      </c>
      <c r="E71" s="2" t="s">
        <v>377</v>
      </c>
      <c r="F71" s="2" t="s">
        <v>259</v>
      </c>
      <c r="G71" s="2" t="s">
        <v>260</v>
      </c>
      <c r="H71" s="2" t="s">
        <v>369</v>
      </c>
      <c r="I71" s="2" t="s">
        <v>0</v>
      </c>
      <c r="J71" s="2" t="s">
        <v>0</v>
      </c>
      <c r="K71" s="2" t="s">
        <v>0</v>
      </c>
      <c r="L71" s="2" t="s">
        <v>0</v>
      </c>
      <c r="M71" s="2" t="s">
        <v>213</v>
      </c>
      <c r="N71" s="2" t="s">
        <v>0</v>
      </c>
      <c r="O71" s="2" t="s">
        <v>82</v>
      </c>
      <c r="P71" s="2" t="s">
        <v>33</v>
      </c>
      <c r="Q71" s="2" t="s">
        <v>214</v>
      </c>
      <c r="R71" s="2" t="s">
        <v>34</v>
      </c>
      <c r="S71" s="2" t="s">
        <v>84</v>
      </c>
      <c r="T71" s="2" t="s">
        <v>18</v>
      </c>
      <c r="U71" s="2" t="s">
        <v>0</v>
      </c>
    </row>
    <row r="72" spans="1:21">
      <c r="A72" s="2" t="s">
        <v>378</v>
      </c>
      <c r="B72" s="2" t="s">
        <v>27</v>
      </c>
      <c r="C72" s="2" t="s">
        <v>379</v>
      </c>
      <c r="D72" s="2" t="s">
        <v>380</v>
      </c>
      <c r="E72" s="2" t="s">
        <v>381</v>
      </c>
      <c r="F72" s="2" t="s">
        <v>226</v>
      </c>
      <c r="G72" s="2" t="s">
        <v>227</v>
      </c>
      <c r="H72" s="2" t="s">
        <v>369</v>
      </c>
      <c r="I72" s="2" t="s">
        <v>0</v>
      </c>
      <c r="J72" s="2" t="s">
        <v>0</v>
      </c>
      <c r="K72" s="2" t="s">
        <v>0</v>
      </c>
      <c r="L72" s="2" t="s">
        <v>0</v>
      </c>
      <c r="M72" s="2" t="s">
        <v>213</v>
      </c>
      <c r="N72" s="2" t="s">
        <v>0</v>
      </c>
      <c r="O72" s="2" t="s">
        <v>82</v>
      </c>
      <c r="P72" s="2" t="s">
        <v>33</v>
      </c>
      <c r="Q72" s="2" t="s">
        <v>214</v>
      </c>
      <c r="R72" s="2" t="s">
        <v>34</v>
      </c>
      <c r="S72" s="2" t="s">
        <v>205</v>
      </c>
      <c r="T72" s="2" t="s">
        <v>35</v>
      </c>
      <c r="U72" s="2" t="s">
        <v>0</v>
      </c>
    </row>
    <row r="73" spans="1:21">
      <c r="A73" s="2" t="s">
        <v>382</v>
      </c>
      <c r="B73" s="2" t="s">
        <v>27</v>
      </c>
      <c r="C73" s="2" t="s">
        <v>383</v>
      </c>
      <c r="D73" s="2" t="s">
        <v>384</v>
      </c>
      <c r="E73" s="2" t="s">
        <v>385</v>
      </c>
      <c r="F73" s="2" t="s">
        <v>259</v>
      </c>
      <c r="G73" s="2" t="s">
        <v>260</v>
      </c>
      <c r="H73" s="2" t="s">
        <v>369</v>
      </c>
      <c r="I73" s="2" t="s">
        <v>0</v>
      </c>
      <c r="J73" s="2" t="s">
        <v>0</v>
      </c>
      <c r="K73" s="2" t="s">
        <v>0</v>
      </c>
      <c r="L73" s="2" t="s">
        <v>0</v>
      </c>
      <c r="M73" s="2" t="s">
        <v>213</v>
      </c>
      <c r="N73" s="2" t="s">
        <v>0</v>
      </c>
      <c r="O73" s="2" t="s">
        <v>82</v>
      </c>
      <c r="P73" s="2" t="s">
        <v>33</v>
      </c>
      <c r="Q73" s="2" t="s">
        <v>214</v>
      </c>
      <c r="R73" s="2" t="s">
        <v>34</v>
      </c>
      <c r="S73" s="2" t="s">
        <v>205</v>
      </c>
      <c r="T73" s="2" t="s">
        <v>35</v>
      </c>
      <c r="U73" s="2" t="s">
        <v>0</v>
      </c>
    </row>
    <row r="74" spans="1:21">
      <c r="A74" s="2" t="s">
        <v>386</v>
      </c>
      <c r="B74" s="2" t="s">
        <v>3</v>
      </c>
      <c r="C74" s="2" t="s">
        <v>387</v>
      </c>
      <c r="D74" s="2" t="s">
        <v>388</v>
      </c>
      <c r="E74" s="2" t="s">
        <v>389</v>
      </c>
      <c r="F74" s="2" t="s">
        <v>259</v>
      </c>
      <c r="G74" s="2" t="s">
        <v>260</v>
      </c>
      <c r="H74" s="2" t="s">
        <v>390</v>
      </c>
      <c r="I74" s="2" t="s">
        <v>0</v>
      </c>
      <c r="J74" s="2" t="s">
        <v>0</v>
      </c>
      <c r="K74" s="2" t="s">
        <v>0</v>
      </c>
      <c r="L74" s="2" t="s">
        <v>0</v>
      </c>
      <c r="M74" s="2" t="s">
        <v>213</v>
      </c>
      <c r="N74" s="2" t="s">
        <v>0</v>
      </c>
      <c r="O74" s="2" t="s">
        <v>82</v>
      </c>
      <c r="P74" s="2" t="s">
        <v>33</v>
      </c>
      <c r="Q74" s="2" t="s">
        <v>391</v>
      </c>
      <c r="R74" s="2" t="s">
        <v>34</v>
      </c>
      <c r="S74" s="2" t="s">
        <v>84</v>
      </c>
      <c r="T74" s="2" t="s">
        <v>18</v>
      </c>
      <c r="U74" s="2" t="s">
        <v>392</v>
      </c>
    </row>
    <row r="75" spans="1:21">
      <c r="A75" s="2" t="s">
        <v>393</v>
      </c>
      <c r="B75" s="2" t="s">
        <v>3</v>
      </c>
      <c r="C75" s="2" t="s">
        <v>394</v>
      </c>
      <c r="D75" s="2" t="s">
        <v>395</v>
      </c>
      <c r="E75" s="2" t="s">
        <v>396</v>
      </c>
      <c r="F75" s="2" t="s">
        <v>291</v>
      </c>
      <c r="G75" s="2" t="s">
        <v>292</v>
      </c>
      <c r="H75" s="2" t="s">
        <v>390</v>
      </c>
      <c r="I75" s="2" t="s">
        <v>0</v>
      </c>
      <c r="J75" s="2" t="s">
        <v>0</v>
      </c>
      <c r="K75" s="2" t="s">
        <v>0</v>
      </c>
      <c r="L75" s="2" t="s">
        <v>0</v>
      </c>
      <c r="M75" s="2" t="s">
        <v>213</v>
      </c>
      <c r="N75" s="2" t="s">
        <v>0</v>
      </c>
      <c r="O75" s="2" t="s">
        <v>82</v>
      </c>
      <c r="P75" s="2" t="s">
        <v>33</v>
      </c>
      <c r="Q75" s="2" t="s">
        <v>83</v>
      </c>
      <c r="R75" s="2" t="s">
        <v>34</v>
      </c>
      <c r="S75" s="2" t="s">
        <v>205</v>
      </c>
      <c r="T75" s="2" t="s">
        <v>18</v>
      </c>
      <c r="U75" s="2" t="s">
        <v>0</v>
      </c>
    </row>
    <row r="76" spans="1:21">
      <c r="A76" s="2" t="s">
        <v>397</v>
      </c>
      <c r="B76" s="2" t="s">
        <v>3</v>
      </c>
      <c r="C76" s="2" t="s">
        <v>398</v>
      </c>
      <c r="D76" s="2" t="s">
        <v>399</v>
      </c>
      <c r="E76" s="2" t="s">
        <v>400</v>
      </c>
      <c r="F76" s="2" t="s">
        <v>401</v>
      </c>
      <c r="G76" s="2" t="s">
        <v>402</v>
      </c>
      <c r="H76" s="2" t="s">
        <v>403</v>
      </c>
      <c r="I76" s="2" t="s">
        <v>0</v>
      </c>
      <c r="J76" s="2" t="s">
        <v>404</v>
      </c>
      <c r="K76" s="2" t="s">
        <v>0</v>
      </c>
      <c r="L76" s="2" t="s">
        <v>405</v>
      </c>
      <c r="M76" s="2" t="s">
        <v>406</v>
      </c>
      <c r="N76" s="2" t="s">
        <v>12</v>
      </c>
      <c r="O76" s="2" t="s">
        <v>13</v>
      </c>
      <c r="P76" s="2" t="s">
        <v>33</v>
      </c>
      <c r="Q76" s="2" t="s">
        <v>83</v>
      </c>
      <c r="R76" s="2" t="s">
        <v>34</v>
      </c>
      <c r="S76" s="2" t="s">
        <v>84</v>
      </c>
      <c r="T76" s="2" t="s">
        <v>18</v>
      </c>
      <c r="U76" s="2" t="s">
        <v>407</v>
      </c>
    </row>
    <row r="77" spans="1:21">
      <c r="A77" s="2" t="s">
        <v>408</v>
      </c>
      <c r="B77" s="2" t="s">
        <v>3</v>
      </c>
      <c r="C77" s="2" t="s">
        <v>409</v>
      </c>
      <c r="D77" s="2" t="s">
        <v>410</v>
      </c>
      <c r="E77" s="2" t="s">
        <v>411</v>
      </c>
      <c r="F77" s="2" t="s">
        <v>412</v>
      </c>
      <c r="G77" s="2" t="s">
        <v>413</v>
      </c>
      <c r="H77" s="2" t="s">
        <v>403</v>
      </c>
      <c r="I77" s="2" t="s">
        <v>0</v>
      </c>
      <c r="J77" s="2" t="s">
        <v>404</v>
      </c>
      <c r="K77" s="2" t="s">
        <v>0</v>
      </c>
      <c r="L77" s="2" t="s">
        <v>405</v>
      </c>
      <c r="M77" s="2" t="s">
        <v>406</v>
      </c>
      <c r="N77" s="2" t="s">
        <v>12</v>
      </c>
      <c r="O77" s="2" t="s">
        <v>13</v>
      </c>
      <c r="P77" s="2" t="s">
        <v>33</v>
      </c>
      <c r="Q77" s="2" t="s">
        <v>83</v>
      </c>
      <c r="R77" s="2" t="s">
        <v>34</v>
      </c>
      <c r="S77" s="2" t="s">
        <v>205</v>
      </c>
      <c r="T77" s="2" t="s">
        <v>18</v>
      </c>
      <c r="U77" s="2" t="s">
        <v>0</v>
      </c>
    </row>
    <row r="78" spans="1:21">
      <c r="A78" s="2" t="s">
        <v>414</v>
      </c>
      <c r="B78" s="2" t="s">
        <v>3</v>
      </c>
      <c r="C78" s="2" t="s">
        <v>415</v>
      </c>
      <c r="D78" s="2" t="s">
        <v>416</v>
      </c>
      <c r="E78" s="2" t="s">
        <v>417</v>
      </c>
      <c r="F78" s="2" t="s">
        <v>418</v>
      </c>
      <c r="G78" s="2" t="s">
        <v>419</v>
      </c>
      <c r="H78" s="2" t="s">
        <v>403</v>
      </c>
      <c r="I78" s="2" t="s">
        <v>0</v>
      </c>
      <c r="J78" s="2" t="s">
        <v>404</v>
      </c>
      <c r="K78" s="2" t="s">
        <v>0</v>
      </c>
      <c r="L78" s="2" t="s">
        <v>405</v>
      </c>
      <c r="M78" s="2" t="s">
        <v>406</v>
      </c>
      <c r="N78" s="2" t="s">
        <v>12</v>
      </c>
      <c r="O78" s="2" t="s">
        <v>13</v>
      </c>
      <c r="P78" s="2" t="s">
        <v>33</v>
      </c>
      <c r="Q78" s="2" t="s">
        <v>214</v>
      </c>
      <c r="R78" s="2" t="s">
        <v>34</v>
      </c>
      <c r="S78" s="2" t="s">
        <v>84</v>
      </c>
      <c r="T78" s="2" t="s">
        <v>18</v>
      </c>
      <c r="U78" s="2" t="s">
        <v>420</v>
      </c>
    </row>
    <row r="79" spans="1:21">
      <c r="A79" s="2" t="s">
        <v>421</v>
      </c>
      <c r="B79" s="2" t="s">
        <v>3</v>
      </c>
      <c r="C79" s="2" t="s">
        <v>422</v>
      </c>
      <c r="D79" s="2" t="s">
        <v>423</v>
      </c>
      <c r="E79" s="2" t="s">
        <v>424</v>
      </c>
      <c r="F79" s="2" t="s">
        <v>425</v>
      </c>
      <c r="G79" s="2" t="s">
        <v>426</v>
      </c>
      <c r="H79" s="2" t="s">
        <v>427</v>
      </c>
      <c r="I79" s="2" t="s">
        <v>428</v>
      </c>
      <c r="J79" s="2" t="s">
        <v>0</v>
      </c>
      <c r="K79" s="2" t="s">
        <v>0</v>
      </c>
      <c r="L79" s="2" t="s">
        <v>0</v>
      </c>
      <c r="M79" s="2" t="s">
        <v>406</v>
      </c>
      <c r="N79" s="2" t="s">
        <v>12</v>
      </c>
      <c r="O79" s="2" t="s">
        <v>13</v>
      </c>
      <c r="P79" s="2" t="s">
        <v>33</v>
      </c>
      <c r="Q79" s="2" t="s">
        <v>83</v>
      </c>
      <c r="R79" s="2" t="s">
        <v>34</v>
      </c>
      <c r="S79" s="2" t="s">
        <v>84</v>
      </c>
      <c r="T79" s="2" t="s">
        <v>18</v>
      </c>
      <c r="U79" s="2" t="s">
        <v>0</v>
      </c>
    </row>
    <row r="80" spans="1:21">
      <c r="A80" s="2" t="s">
        <v>429</v>
      </c>
      <c r="B80" s="2" t="s">
        <v>3</v>
      </c>
      <c r="C80" s="2" t="s">
        <v>430</v>
      </c>
      <c r="D80" s="2" t="s">
        <v>431</v>
      </c>
      <c r="E80" s="2" t="s">
        <v>432</v>
      </c>
      <c r="F80" s="2" t="s">
        <v>433</v>
      </c>
      <c r="G80" s="2" t="s">
        <v>434</v>
      </c>
      <c r="H80" s="2" t="s">
        <v>435</v>
      </c>
      <c r="I80" s="2" t="s">
        <v>0</v>
      </c>
      <c r="J80" s="2" t="s">
        <v>0</v>
      </c>
      <c r="K80" s="2" t="s">
        <v>0</v>
      </c>
      <c r="L80" s="2" t="s">
        <v>0</v>
      </c>
      <c r="M80" s="2" t="s">
        <v>0</v>
      </c>
      <c r="N80" s="2" t="s">
        <v>0</v>
      </c>
      <c r="O80" s="2" t="s">
        <v>82</v>
      </c>
      <c r="P80" s="2" t="s">
        <v>33</v>
      </c>
      <c r="Q80" s="2" t="s">
        <v>0</v>
      </c>
      <c r="R80" s="2" t="s">
        <v>34</v>
      </c>
      <c r="S80" s="2" t="s">
        <v>84</v>
      </c>
      <c r="T80" s="2" t="s">
        <v>18</v>
      </c>
      <c r="U80" s="2" t="s">
        <v>0</v>
      </c>
    </row>
    <row r="81" spans="1:21">
      <c r="A81" s="2" t="s">
        <v>436</v>
      </c>
      <c r="B81" s="2" t="s">
        <v>3</v>
      </c>
      <c r="C81" s="2" t="s">
        <v>437</v>
      </c>
      <c r="D81" s="2" t="s">
        <v>438</v>
      </c>
      <c r="E81" s="2" t="s">
        <v>439</v>
      </c>
      <c r="F81" s="2" t="s">
        <v>220</v>
      </c>
      <c r="G81" s="2" t="s">
        <v>440</v>
      </c>
      <c r="H81" s="2" t="s">
        <v>435</v>
      </c>
      <c r="I81" s="2" t="s">
        <v>0</v>
      </c>
      <c r="J81" s="2" t="s">
        <v>0</v>
      </c>
      <c r="K81" s="2" t="s">
        <v>0</v>
      </c>
      <c r="L81" s="2" t="s">
        <v>0</v>
      </c>
      <c r="M81" s="2" t="s">
        <v>0</v>
      </c>
      <c r="N81" s="2" t="s">
        <v>0</v>
      </c>
      <c r="O81" s="2" t="s">
        <v>82</v>
      </c>
      <c r="P81" s="2" t="s">
        <v>33</v>
      </c>
      <c r="Q81" s="2" t="s">
        <v>0</v>
      </c>
      <c r="R81" s="2" t="s">
        <v>34</v>
      </c>
      <c r="S81" s="2" t="s">
        <v>205</v>
      </c>
      <c r="T81" s="2" t="s">
        <v>18</v>
      </c>
      <c r="U81" s="2" t="s">
        <v>0</v>
      </c>
    </row>
    <row r="82" spans="1:21">
      <c r="A82" s="2" t="s">
        <v>441</v>
      </c>
      <c r="B82" s="2" t="s">
        <v>46</v>
      </c>
      <c r="C82" s="2" t="s">
        <v>442</v>
      </c>
      <c r="D82" s="2" t="s">
        <v>443</v>
      </c>
      <c r="E82" s="2" t="s">
        <v>444</v>
      </c>
      <c r="F82" s="2" t="s">
        <v>445</v>
      </c>
      <c r="G82" s="2" t="s">
        <v>446</v>
      </c>
      <c r="H82" s="2" t="s">
        <v>435</v>
      </c>
      <c r="I82" s="2" t="s">
        <v>0</v>
      </c>
      <c r="J82" s="2" t="s">
        <v>0</v>
      </c>
      <c r="K82" s="2" t="s">
        <v>0</v>
      </c>
      <c r="L82" s="2" t="s">
        <v>0</v>
      </c>
      <c r="M82" s="2" t="s">
        <v>0</v>
      </c>
      <c r="N82" s="2" t="s">
        <v>0</v>
      </c>
      <c r="O82" s="2" t="s">
        <v>82</v>
      </c>
      <c r="P82" s="2" t="s">
        <v>33</v>
      </c>
      <c r="Q82" s="2" t="s">
        <v>198</v>
      </c>
      <c r="R82" s="2" t="s">
        <v>34</v>
      </c>
      <c r="S82" s="2" t="s">
        <v>84</v>
      </c>
      <c r="T82" s="2" t="s">
        <v>18</v>
      </c>
      <c r="U82" s="2" t="s">
        <v>0</v>
      </c>
    </row>
    <row r="83" spans="1:21">
      <c r="A83" s="2" t="s">
        <v>447</v>
      </c>
      <c r="B83" s="2" t="s">
        <v>27</v>
      </c>
      <c r="C83" s="2" t="s">
        <v>448</v>
      </c>
      <c r="D83" s="2" t="s">
        <v>449</v>
      </c>
      <c r="E83" s="2" t="s">
        <v>450</v>
      </c>
      <c r="F83" s="2" t="s">
        <v>451</v>
      </c>
      <c r="G83" s="2" t="s">
        <v>452</v>
      </c>
      <c r="H83" s="2" t="s">
        <v>435</v>
      </c>
      <c r="I83" s="2" t="s">
        <v>0</v>
      </c>
      <c r="J83" s="2" t="s">
        <v>0</v>
      </c>
      <c r="K83" s="2" t="s">
        <v>0</v>
      </c>
      <c r="L83" s="2" t="s">
        <v>0</v>
      </c>
      <c r="M83" s="2" t="s">
        <v>0</v>
      </c>
      <c r="N83" s="2" t="s">
        <v>0</v>
      </c>
      <c r="O83" s="2" t="s">
        <v>82</v>
      </c>
      <c r="P83" s="2" t="s">
        <v>33</v>
      </c>
      <c r="Q83" s="2" t="s">
        <v>198</v>
      </c>
      <c r="R83" s="2" t="s">
        <v>34</v>
      </c>
      <c r="S83" s="2" t="s">
        <v>84</v>
      </c>
      <c r="T83" s="2" t="s">
        <v>35</v>
      </c>
      <c r="U83" s="2" t="s">
        <v>0</v>
      </c>
    </row>
    <row r="84" spans="1:21">
      <c r="A84" s="2" t="s">
        <v>453</v>
      </c>
      <c r="B84" s="2" t="s">
        <v>27</v>
      </c>
      <c r="C84" s="2" t="s">
        <v>454</v>
      </c>
      <c r="D84" s="2" t="s">
        <v>455</v>
      </c>
      <c r="E84" s="2" t="s">
        <v>456</v>
      </c>
      <c r="F84" s="2" t="s">
        <v>457</v>
      </c>
      <c r="G84" s="2" t="s">
        <v>458</v>
      </c>
      <c r="H84" s="2" t="s">
        <v>459</v>
      </c>
      <c r="I84" s="2" t="s">
        <v>0</v>
      </c>
      <c r="J84" s="2" t="s">
        <v>0</v>
      </c>
      <c r="K84" s="2" t="s">
        <v>0</v>
      </c>
      <c r="L84" s="2" t="s">
        <v>0</v>
      </c>
      <c r="M84" s="2" t="s">
        <v>0</v>
      </c>
      <c r="N84" s="2" t="s">
        <v>0</v>
      </c>
      <c r="O84" s="2" t="s">
        <v>82</v>
      </c>
      <c r="P84" s="2" t="s">
        <v>33</v>
      </c>
      <c r="Q84" s="2" t="s">
        <v>0</v>
      </c>
      <c r="R84" s="2" t="s">
        <v>34</v>
      </c>
      <c r="S84" s="2" t="s">
        <v>205</v>
      </c>
      <c r="T84" s="2" t="s">
        <v>35</v>
      </c>
      <c r="U84" s="2" t="s">
        <v>0</v>
      </c>
    </row>
    <row r="85" spans="1:21">
      <c r="A85" s="2" t="s">
        <v>460</v>
      </c>
      <c r="B85" s="2" t="s">
        <v>3</v>
      </c>
      <c r="C85" s="2" t="s">
        <v>461</v>
      </c>
      <c r="D85" s="2" t="s">
        <v>462</v>
      </c>
      <c r="E85" s="2" t="s">
        <v>463</v>
      </c>
      <c r="F85" s="2" t="s">
        <v>464</v>
      </c>
      <c r="G85" s="2" t="s">
        <v>465</v>
      </c>
      <c r="H85" s="2" t="s">
        <v>459</v>
      </c>
      <c r="I85" s="2" t="s">
        <v>0</v>
      </c>
      <c r="J85" s="2" t="s">
        <v>0</v>
      </c>
      <c r="K85" s="2" t="s">
        <v>0</v>
      </c>
      <c r="L85" s="2" t="s">
        <v>0</v>
      </c>
      <c r="M85" s="2" t="s">
        <v>0</v>
      </c>
      <c r="N85" s="2" t="s">
        <v>0</v>
      </c>
      <c r="O85" s="2" t="s">
        <v>82</v>
      </c>
      <c r="P85" s="2" t="s">
        <v>33</v>
      </c>
      <c r="Q85" s="2" t="s">
        <v>83</v>
      </c>
      <c r="R85" s="2" t="s">
        <v>34</v>
      </c>
      <c r="S85" s="2" t="s">
        <v>84</v>
      </c>
      <c r="T85" s="2" t="s">
        <v>18</v>
      </c>
      <c r="U85" s="2" t="s">
        <v>0</v>
      </c>
    </row>
    <row r="86" spans="1:21">
      <c r="A86" s="2" t="s">
        <v>466</v>
      </c>
      <c r="B86" s="2" t="s">
        <v>3</v>
      </c>
      <c r="C86" s="2" t="s">
        <v>467</v>
      </c>
      <c r="D86" s="2" t="s">
        <v>468</v>
      </c>
      <c r="E86" s="2" t="s">
        <v>469</v>
      </c>
      <c r="F86" s="2" t="s">
        <v>464</v>
      </c>
      <c r="G86" s="2" t="s">
        <v>465</v>
      </c>
      <c r="H86" s="2" t="s">
        <v>459</v>
      </c>
      <c r="I86" s="2" t="s">
        <v>0</v>
      </c>
      <c r="J86" s="2" t="s">
        <v>0</v>
      </c>
      <c r="K86" s="2" t="s">
        <v>0</v>
      </c>
      <c r="L86" s="2" t="s">
        <v>0</v>
      </c>
      <c r="M86" s="2" t="s">
        <v>0</v>
      </c>
      <c r="N86" s="2" t="s">
        <v>0</v>
      </c>
      <c r="O86" s="2" t="s">
        <v>82</v>
      </c>
      <c r="P86" s="2" t="s">
        <v>33</v>
      </c>
      <c r="Q86" s="2" t="s">
        <v>83</v>
      </c>
      <c r="R86" s="2" t="s">
        <v>34</v>
      </c>
      <c r="S86" s="2" t="s">
        <v>84</v>
      </c>
      <c r="T86" s="2" t="s">
        <v>18</v>
      </c>
      <c r="U86" s="2" t="s">
        <v>470</v>
      </c>
    </row>
    <row r="87" spans="1:21">
      <c r="A87" s="2" t="s">
        <v>471</v>
      </c>
      <c r="B87" s="2" t="s">
        <v>3</v>
      </c>
      <c r="C87" s="2" t="s">
        <v>472</v>
      </c>
      <c r="D87" s="2" t="s">
        <v>473</v>
      </c>
      <c r="E87" s="2" t="s">
        <v>474</v>
      </c>
      <c r="F87" s="2" t="s">
        <v>203</v>
      </c>
      <c r="G87" s="2" t="s">
        <v>204</v>
      </c>
      <c r="H87" s="2" t="s">
        <v>459</v>
      </c>
      <c r="I87" s="2" t="s">
        <v>0</v>
      </c>
      <c r="J87" s="2" t="s">
        <v>0</v>
      </c>
      <c r="K87" s="2" t="s">
        <v>0</v>
      </c>
      <c r="L87" s="2" t="s">
        <v>0</v>
      </c>
      <c r="M87" s="2" t="s">
        <v>0</v>
      </c>
      <c r="N87" s="2" t="s">
        <v>0</v>
      </c>
      <c r="O87" s="2" t="s">
        <v>82</v>
      </c>
      <c r="P87" s="2" t="s">
        <v>33</v>
      </c>
      <c r="Q87" s="2" t="s">
        <v>198</v>
      </c>
      <c r="R87" s="2" t="s">
        <v>34</v>
      </c>
      <c r="S87" s="2" t="s">
        <v>84</v>
      </c>
      <c r="T87" s="2" t="s">
        <v>18</v>
      </c>
      <c r="U87" s="2" t="s">
        <v>0</v>
      </c>
    </row>
    <row r="88" spans="1:21">
      <c r="A88" s="2" t="s">
        <v>475</v>
      </c>
      <c r="B88" s="2" t="s">
        <v>3</v>
      </c>
      <c r="C88" s="2" t="s">
        <v>476</v>
      </c>
      <c r="D88" s="2" t="s">
        <v>477</v>
      </c>
      <c r="E88" s="2" t="s">
        <v>478</v>
      </c>
      <c r="F88" s="2" t="s">
        <v>479</v>
      </c>
      <c r="G88" s="2" t="s">
        <v>480</v>
      </c>
      <c r="H88" s="2" t="s">
        <v>459</v>
      </c>
      <c r="I88" s="2" t="s">
        <v>0</v>
      </c>
      <c r="J88" s="2" t="s">
        <v>0</v>
      </c>
      <c r="K88" s="2" t="s">
        <v>0</v>
      </c>
      <c r="L88" s="2" t="s">
        <v>0</v>
      </c>
      <c r="M88" s="2" t="s">
        <v>0</v>
      </c>
      <c r="N88" s="2" t="s">
        <v>0</v>
      </c>
      <c r="O88" s="2" t="s">
        <v>82</v>
      </c>
      <c r="P88" s="2" t="s">
        <v>33</v>
      </c>
      <c r="Q88" s="2" t="s">
        <v>214</v>
      </c>
      <c r="R88" s="2" t="s">
        <v>34</v>
      </c>
      <c r="S88" s="2" t="s">
        <v>84</v>
      </c>
      <c r="T88" s="2" t="s">
        <v>18</v>
      </c>
      <c r="U88" s="2" t="s">
        <v>0</v>
      </c>
    </row>
    <row r="89" spans="1:21">
      <c r="A89" s="2" t="s">
        <v>481</v>
      </c>
      <c r="B89" s="2" t="s">
        <v>3</v>
      </c>
      <c r="C89" s="2" t="s">
        <v>482</v>
      </c>
      <c r="D89" s="2" t="s">
        <v>483</v>
      </c>
      <c r="E89" s="2" t="s">
        <v>484</v>
      </c>
      <c r="F89" s="2" t="s">
        <v>485</v>
      </c>
      <c r="G89" s="2" t="s">
        <v>486</v>
      </c>
      <c r="H89" s="2" t="s">
        <v>459</v>
      </c>
      <c r="I89" s="2" t="s">
        <v>0</v>
      </c>
      <c r="J89" s="2" t="s">
        <v>0</v>
      </c>
      <c r="K89" s="2" t="s">
        <v>0</v>
      </c>
      <c r="L89" s="2" t="s">
        <v>0</v>
      </c>
      <c r="M89" s="2" t="s">
        <v>0</v>
      </c>
      <c r="N89" s="2" t="s">
        <v>0</v>
      </c>
      <c r="O89" s="2" t="s">
        <v>82</v>
      </c>
      <c r="P89" s="2" t="s">
        <v>33</v>
      </c>
      <c r="Q89" s="2" t="s">
        <v>214</v>
      </c>
      <c r="R89" s="2" t="s">
        <v>34</v>
      </c>
      <c r="S89" s="2" t="s">
        <v>84</v>
      </c>
      <c r="T89" s="2" t="s">
        <v>18</v>
      </c>
      <c r="U89" s="2" t="s">
        <v>0</v>
      </c>
    </row>
    <row r="90" spans="1:21">
      <c r="A90" s="2" t="s">
        <v>487</v>
      </c>
      <c r="B90" s="2" t="s">
        <v>3</v>
      </c>
      <c r="C90" s="2" t="s">
        <v>488</v>
      </c>
      <c r="D90" s="2" t="s">
        <v>489</v>
      </c>
      <c r="E90" s="2" t="s">
        <v>490</v>
      </c>
      <c r="F90" s="2" t="s">
        <v>485</v>
      </c>
      <c r="G90" s="2" t="s">
        <v>486</v>
      </c>
      <c r="H90" s="2" t="s">
        <v>459</v>
      </c>
      <c r="I90" s="2" t="s">
        <v>0</v>
      </c>
      <c r="J90" s="2" t="s">
        <v>0</v>
      </c>
      <c r="K90" s="2" t="s">
        <v>0</v>
      </c>
      <c r="L90" s="2" t="s">
        <v>0</v>
      </c>
      <c r="M90" s="2" t="s">
        <v>0</v>
      </c>
      <c r="N90" s="2" t="s">
        <v>0</v>
      </c>
      <c r="O90" s="2" t="s">
        <v>82</v>
      </c>
      <c r="P90" s="2" t="s">
        <v>33</v>
      </c>
      <c r="Q90" s="2" t="s">
        <v>214</v>
      </c>
      <c r="R90" s="2" t="s">
        <v>34</v>
      </c>
      <c r="S90" s="2" t="s">
        <v>84</v>
      </c>
      <c r="T90" s="2" t="s">
        <v>18</v>
      </c>
      <c r="U90" s="2" t="s">
        <v>0</v>
      </c>
    </row>
    <row r="91" spans="1:21">
      <c r="A91" s="2" t="s">
        <v>491</v>
      </c>
      <c r="B91" s="2" t="s">
        <v>3</v>
      </c>
      <c r="C91" s="2" t="s">
        <v>492</v>
      </c>
      <c r="D91" s="2" t="s">
        <v>493</v>
      </c>
      <c r="E91" s="2" t="s">
        <v>494</v>
      </c>
      <c r="F91" s="2" t="s">
        <v>464</v>
      </c>
      <c r="G91" s="2" t="s">
        <v>465</v>
      </c>
      <c r="H91" s="2" t="s">
        <v>459</v>
      </c>
      <c r="I91" s="2" t="s">
        <v>0</v>
      </c>
      <c r="J91" s="2" t="s">
        <v>0</v>
      </c>
      <c r="K91" s="2" t="s">
        <v>0</v>
      </c>
      <c r="L91" s="2" t="s">
        <v>0</v>
      </c>
      <c r="M91" s="2" t="s">
        <v>0</v>
      </c>
      <c r="N91" s="2" t="s">
        <v>0</v>
      </c>
      <c r="O91" s="2" t="s">
        <v>82</v>
      </c>
      <c r="P91" s="2" t="s">
        <v>33</v>
      </c>
      <c r="Q91" s="2" t="s">
        <v>214</v>
      </c>
      <c r="R91" s="2" t="s">
        <v>34</v>
      </c>
      <c r="S91" s="2" t="s">
        <v>84</v>
      </c>
      <c r="T91" s="2" t="s">
        <v>18</v>
      </c>
      <c r="U91" s="2" t="s">
        <v>0</v>
      </c>
    </row>
    <row r="92" spans="1:21">
      <c r="A92" s="2" t="s">
        <v>495</v>
      </c>
      <c r="B92" s="2" t="s">
        <v>27</v>
      </c>
      <c r="C92" s="2" t="s">
        <v>496</v>
      </c>
      <c r="D92" s="2" t="s">
        <v>497</v>
      </c>
      <c r="E92" s="2" t="s">
        <v>498</v>
      </c>
      <c r="F92" s="2" t="s">
        <v>499</v>
      </c>
      <c r="G92" s="2" t="s">
        <v>500</v>
      </c>
      <c r="H92" s="2" t="s">
        <v>501</v>
      </c>
      <c r="I92" s="2" t="s">
        <v>0</v>
      </c>
      <c r="J92" s="2" t="s">
        <v>0</v>
      </c>
      <c r="K92" s="2" t="s">
        <v>0</v>
      </c>
      <c r="L92" s="2" t="s">
        <v>0</v>
      </c>
      <c r="M92" s="2" t="s">
        <v>406</v>
      </c>
      <c r="N92" s="2" t="s">
        <v>12</v>
      </c>
      <c r="O92" s="2" t="s">
        <v>13</v>
      </c>
      <c r="P92" s="2" t="s">
        <v>33</v>
      </c>
      <c r="Q92" s="2" t="s">
        <v>83</v>
      </c>
      <c r="R92" s="2" t="s">
        <v>34</v>
      </c>
      <c r="S92" s="2" t="s">
        <v>84</v>
      </c>
      <c r="T92" s="2" t="s">
        <v>35</v>
      </c>
      <c r="U92" s="2" t="s">
        <v>0</v>
      </c>
    </row>
    <row r="93" spans="1:21">
      <c r="A93" s="2" t="s">
        <v>502</v>
      </c>
      <c r="B93" s="2" t="s">
        <v>27</v>
      </c>
      <c r="C93" s="2" t="s">
        <v>503</v>
      </c>
      <c r="D93" s="2" t="s">
        <v>504</v>
      </c>
      <c r="E93" s="2" t="s">
        <v>505</v>
      </c>
      <c r="F93" s="2" t="s">
        <v>506</v>
      </c>
      <c r="G93" s="2" t="s">
        <v>507</v>
      </c>
      <c r="H93" s="2" t="s">
        <v>508</v>
      </c>
      <c r="I93" s="2" t="s">
        <v>0</v>
      </c>
      <c r="J93" s="2" t="s">
        <v>0</v>
      </c>
      <c r="K93" s="2" t="s">
        <v>509</v>
      </c>
      <c r="L93" s="2" t="s">
        <v>0</v>
      </c>
      <c r="M93" s="2" t="s">
        <v>0</v>
      </c>
      <c r="N93" s="2" t="s">
        <v>510</v>
      </c>
      <c r="O93" s="2" t="s">
        <v>82</v>
      </c>
      <c r="P93" s="2" t="s">
        <v>33</v>
      </c>
      <c r="Q93" s="2" t="s">
        <v>391</v>
      </c>
      <c r="R93" s="2" t="s">
        <v>34</v>
      </c>
      <c r="S93" s="2" t="s">
        <v>84</v>
      </c>
      <c r="T93" s="2" t="s">
        <v>35</v>
      </c>
      <c r="U93" s="2" t="s">
        <v>0</v>
      </c>
    </row>
    <row r="94" spans="1:21">
      <c r="A94" s="2" t="s">
        <v>511</v>
      </c>
      <c r="B94" s="2" t="s">
        <v>27</v>
      </c>
      <c r="C94" s="2" t="s">
        <v>512</v>
      </c>
      <c r="D94" s="2" t="s">
        <v>513</v>
      </c>
      <c r="E94" s="2" t="s">
        <v>514</v>
      </c>
      <c r="F94" s="2" t="s">
        <v>220</v>
      </c>
      <c r="G94" s="2" t="s">
        <v>221</v>
      </c>
      <c r="H94" s="2" t="s">
        <v>508</v>
      </c>
      <c r="I94" s="2" t="s">
        <v>0</v>
      </c>
      <c r="J94" s="2" t="s">
        <v>0</v>
      </c>
      <c r="K94" s="2" t="s">
        <v>509</v>
      </c>
      <c r="L94" s="2" t="s">
        <v>0</v>
      </c>
      <c r="M94" s="2" t="s">
        <v>0</v>
      </c>
      <c r="N94" s="2" t="s">
        <v>510</v>
      </c>
      <c r="O94" s="2" t="s">
        <v>82</v>
      </c>
      <c r="P94" s="2" t="s">
        <v>33</v>
      </c>
      <c r="Q94" s="2" t="s">
        <v>391</v>
      </c>
      <c r="R94" s="2" t="s">
        <v>34</v>
      </c>
      <c r="S94" s="2" t="s">
        <v>84</v>
      </c>
      <c r="T94" s="2" t="s">
        <v>35</v>
      </c>
      <c r="U94" s="2" t="s">
        <v>0</v>
      </c>
    </row>
    <row r="95" spans="1:21">
      <c r="A95" s="2" t="s">
        <v>515</v>
      </c>
      <c r="B95" s="2" t="s">
        <v>46</v>
      </c>
      <c r="C95" s="2" t="s">
        <v>516</v>
      </c>
      <c r="D95" s="2" t="s">
        <v>517</v>
      </c>
      <c r="E95" s="2" t="s">
        <v>518</v>
      </c>
      <c r="F95" s="2" t="s">
        <v>519</v>
      </c>
      <c r="G95" s="2" t="s">
        <v>520</v>
      </c>
      <c r="H95" s="2" t="s">
        <v>521</v>
      </c>
      <c r="I95" s="2" t="s">
        <v>0</v>
      </c>
      <c r="J95" s="2" t="s">
        <v>0</v>
      </c>
      <c r="K95" s="2" t="s">
        <v>0</v>
      </c>
      <c r="L95" s="2" t="s">
        <v>0</v>
      </c>
      <c r="M95" s="2" t="s">
        <v>0</v>
      </c>
      <c r="N95" s="2" t="s">
        <v>12</v>
      </c>
      <c r="O95" s="2" t="s">
        <v>82</v>
      </c>
      <c r="P95" s="2" t="s">
        <v>33</v>
      </c>
      <c r="Q95" s="2" t="s">
        <v>83</v>
      </c>
      <c r="R95" s="2" t="s">
        <v>34</v>
      </c>
      <c r="S95" s="2" t="s">
        <v>84</v>
      </c>
      <c r="T95" s="2" t="s">
        <v>18</v>
      </c>
      <c r="U95" s="2" t="s">
        <v>522</v>
      </c>
    </row>
    <row r="96" spans="1:21">
      <c r="A96" s="2" t="s">
        <v>523</v>
      </c>
      <c r="B96" s="2" t="s">
        <v>3</v>
      </c>
      <c r="C96" s="2" t="s">
        <v>524</v>
      </c>
      <c r="D96" s="2" t="s">
        <v>525</v>
      </c>
      <c r="E96" s="2" t="s">
        <v>526</v>
      </c>
      <c r="F96" s="2" t="s">
        <v>203</v>
      </c>
      <c r="G96" s="2" t="s">
        <v>204</v>
      </c>
      <c r="H96" s="2" t="s">
        <v>521</v>
      </c>
      <c r="I96" s="2" t="s">
        <v>0</v>
      </c>
      <c r="J96" s="2" t="s">
        <v>0</v>
      </c>
      <c r="K96" s="2" t="s">
        <v>0</v>
      </c>
      <c r="L96" s="2" t="s">
        <v>0</v>
      </c>
      <c r="M96" s="2" t="s">
        <v>0</v>
      </c>
      <c r="N96" s="2" t="s">
        <v>12</v>
      </c>
      <c r="O96" s="2" t="s">
        <v>82</v>
      </c>
      <c r="P96" s="2" t="s">
        <v>33</v>
      </c>
      <c r="Q96" s="2" t="s">
        <v>83</v>
      </c>
      <c r="R96" s="2" t="s">
        <v>34</v>
      </c>
      <c r="S96" s="2" t="s">
        <v>84</v>
      </c>
      <c r="T96" s="2" t="s">
        <v>18</v>
      </c>
      <c r="U96" s="2" t="s">
        <v>0</v>
      </c>
    </row>
    <row r="97" spans="1:21">
      <c r="A97" s="2" t="s">
        <v>527</v>
      </c>
      <c r="B97" s="2" t="s">
        <v>3</v>
      </c>
      <c r="C97" s="2" t="s">
        <v>528</v>
      </c>
      <c r="D97" s="2" t="s">
        <v>529</v>
      </c>
      <c r="E97" s="2" t="s">
        <v>530</v>
      </c>
      <c r="F97" s="2" t="s">
        <v>531</v>
      </c>
      <c r="G97" s="2" t="s">
        <v>532</v>
      </c>
      <c r="H97" s="2" t="s">
        <v>533</v>
      </c>
      <c r="I97" s="2" t="s">
        <v>0</v>
      </c>
      <c r="J97" s="2" t="s">
        <v>0</v>
      </c>
      <c r="K97" s="2" t="s">
        <v>534</v>
      </c>
      <c r="L97" s="2" t="s">
        <v>0</v>
      </c>
      <c r="M97" s="2" t="s">
        <v>406</v>
      </c>
      <c r="N97" s="2" t="s">
        <v>12</v>
      </c>
      <c r="O97" s="2" t="s">
        <v>13</v>
      </c>
      <c r="P97" s="2" t="s">
        <v>33</v>
      </c>
      <c r="Q97" s="2" t="s">
        <v>83</v>
      </c>
      <c r="R97" s="2" t="s">
        <v>34</v>
      </c>
      <c r="S97" s="2" t="s">
        <v>84</v>
      </c>
      <c r="T97" s="2" t="s">
        <v>18</v>
      </c>
      <c r="U97" s="2" t="s">
        <v>535</v>
      </c>
    </row>
    <row r="98" spans="1:21">
      <c r="A98" s="2" t="s">
        <v>536</v>
      </c>
      <c r="B98" s="2" t="s">
        <v>46</v>
      </c>
      <c r="C98" s="2" t="s">
        <v>537</v>
      </c>
      <c r="D98" s="2" t="s">
        <v>538</v>
      </c>
      <c r="E98" s="2" t="s">
        <v>539</v>
      </c>
      <c r="F98" s="2" t="s">
        <v>418</v>
      </c>
      <c r="G98" s="2" t="s">
        <v>419</v>
      </c>
      <c r="H98" s="2" t="s">
        <v>533</v>
      </c>
      <c r="I98" s="2" t="s">
        <v>0</v>
      </c>
      <c r="J98" s="2" t="s">
        <v>0</v>
      </c>
      <c r="K98" s="2" t="s">
        <v>534</v>
      </c>
      <c r="L98" s="2" t="s">
        <v>0</v>
      </c>
      <c r="M98" s="2" t="s">
        <v>406</v>
      </c>
      <c r="N98" s="2" t="s">
        <v>12</v>
      </c>
      <c r="O98" s="2" t="s">
        <v>13</v>
      </c>
      <c r="P98" s="2" t="s">
        <v>33</v>
      </c>
      <c r="Q98" s="2" t="s">
        <v>83</v>
      </c>
      <c r="R98" s="2" t="s">
        <v>34</v>
      </c>
      <c r="S98" s="2" t="s">
        <v>84</v>
      </c>
      <c r="T98" s="2" t="s">
        <v>18</v>
      </c>
      <c r="U98" s="2" t="s">
        <v>540</v>
      </c>
    </row>
    <row r="99" spans="1:21">
      <c r="A99" s="2" t="s">
        <v>541</v>
      </c>
      <c r="B99" s="2" t="s">
        <v>3</v>
      </c>
      <c r="C99" s="2" t="s">
        <v>542</v>
      </c>
      <c r="D99" s="2" t="s">
        <v>543</v>
      </c>
      <c r="E99" s="2" t="s">
        <v>544</v>
      </c>
      <c r="F99" s="2" t="s">
        <v>7</v>
      </c>
      <c r="G99" s="2" t="s">
        <v>8</v>
      </c>
      <c r="H99" s="2" t="s">
        <v>533</v>
      </c>
      <c r="I99" s="2" t="s">
        <v>0</v>
      </c>
      <c r="J99" s="2" t="s">
        <v>0</v>
      </c>
      <c r="K99" s="2" t="s">
        <v>534</v>
      </c>
      <c r="L99" s="2" t="s">
        <v>0</v>
      </c>
      <c r="M99" s="2" t="s">
        <v>406</v>
      </c>
      <c r="N99" s="2" t="s">
        <v>12</v>
      </c>
      <c r="O99" s="2" t="s">
        <v>13</v>
      </c>
      <c r="P99" s="2" t="s">
        <v>33</v>
      </c>
      <c r="Q99" s="2" t="s">
        <v>83</v>
      </c>
      <c r="R99" s="2" t="s">
        <v>34</v>
      </c>
      <c r="S99" s="2" t="s">
        <v>84</v>
      </c>
      <c r="T99" s="2" t="s">
        <v>18</v>
      </c>
      <c r="U99" s="2" t="s">
        <v>0</v>
      </c>
    </row>
    <row r="100" spans="1:21">
      <c r="A100" s="2" t="s">
        <v>545</v>
      </c>
      <c r="B100" s="2" t="s">
        <v>3</v>
      </c>
      <c r="C100" s="2" t="s">
        <v>546</v>
      </c>
      <c r="D100" s="2" t="s">
        <v>547</v>
      </c>
      <c r="E100" s="2" t="s">
        <v>548</v>
      </c>
      <c r="F100" s="2" t="s">
        <v>418</v>
      </c>
      <c r="G100" s="2" t="s">
        <v>419</v>
      </c>
      <c r="H100" s="2" t="s">
        <v>533</v>
      </c>
      <c r="I100" s="2" t="s">
        <v>0</v>
      </c>
      <c r="J100" s="2" t="s">
        <v>0</v>
      </c>
      <c r="K100" s="2" t="s">
        <v>534</v>
      </c>
      <c r="L100" s="2" t="s">
        <v>0</v>
      </c>
      <c r="M100" s="2" t="s">
        <v>406</v>
      </c>
      <c r="N100" s="2" t="s">
        <v>12</v>
      </c>
      <c r="O100" s="2" t="s">
        <v>13</v>
      </c>
      <c r="P100" s="2" t="s">
        <v>33</v>
      </c>
      <c r="Q100" s="2" t="s">
        <v>83</v>
      </c>
      <c r="R100" s="2" t="s">
        <v>34</v>
      </c>
      <c r="S100" s="2" t="s">
        <v>84</v>
      </c>
      <c r="T100" s="2" t="s">
        <v>18</v>
      </c>
      <c r="U100" s="2" t="s">
        <v>549</v>
      </c>
    </row>
    <row r="101" spans="1:21">
      <c r="A101" s="2" t="s">
        <v>550</v>
      </c>
      <c r="B101" s="2" t="s">
        <v>27</v>
      </c>
      <c r="C101" s="2" t="s">
        <v>551</v>
      </c>
      <c r="D101" s="2" t="s">
        <v>552</v>
      </c>
      <c r="E101" s="2" t="s">
        <v>553</v>
      </c>
      <c r="F101" s="2" t="s">
        <v>418</v>
      </c>
      <c r="G101" s="2" t="s">
        <v>419</v>
      </c>
      <c r="H101" s="2" t="s">
        <v>533</v>
      </c>
      <c r="I101" s="2" t="s">
        <v>0</v>
      </c>
      <c r="J101" s="2" t="s">
        <v>0</v>
      </c>
      <c r="K101" s="2" t="s">
        <v>534</v>
      </c>
      <c r="L101" s="2" t="s">
        <v>0</v>
      </c>
      <c r="M101" s="2" t="s">
        <v>406</v>
      </c>
      <c r="N101" s="2" t="s">
        <v>12</v>
      </c>
      <c r="O101" s="2" t="s">
        <v>13</v>
      </c>
      <c r="P101" s="2" t="s">
        <v>33</v>
      </c>
      <c r="Q101" s="2" t="s">
        <v>83</v>
      </c>
      <c r="R101" s="2" t="s">
        <v>34</v>
      </c>
      <c r="S101" s="2" t="s">
        <v>84</v>
      </c>
      <c r="T101" s="2" t="s">
        <v>35</v>
      </c>
      <c r="U101" s="2" t="s">
        <v>554</v>
      </c>
    </row>
    <row r="102" spans="1:21">
      <c r="A102" s="2" t="s">
        <v>555</v>
      </c>
      <c r="B102" s="2" t="s">
        <v>3</v>
      </c>
      <c r="C102" s="2" t="s">
        <v>556</v>
      </c>
      <c r="D102" s="2" t="s">
        <v>557</v>
      </c>
      <c r="E102" s="2" t="s">
        <v>558</v>
      </c>
      <c r="F102" s="2" t="s">
        <v>418</v>
      </c>
      <c r="G102" s="2" t="s">
        <v>419</v>
      </c>
      <c r="H102" s="2" t="s">
        <v>533</v>
      </c>
      <c r="I102" s="2" t="s">
        <v>0</v>
      </c>
      <c r="J102" s="2" t="s">
        <v>0</v>
      </c>
      <c r="K102" s="2" t="s">
        <v>534</v>
      </c>
      <c r="L102" s="2" t="s">
        <v>0</v>
      </c>
      <c r="M102" s="2" t="s">
        <v>406</v>
      </c>
      <c r="N102" s="2" t="s">
        <v>12</v>
      </c>
      <c r="O102" s="2" t="s">
        <v>13</v>
      </c>
      <c r="P102" s="2" t="s">
        <v>33</v>
      </c>
      <c r="Q102" s="2" t="s">
        <v>83</v>
      </c>
      <c r="R102" s="2" t="s">
        <v>34</v>
      </c>
      <c r="S102" s="2" t="s">
        <v>205</v>
      </c>
      <c r="T102" s="2" t="s">
        <v>18</v>
      </c>
      <c r="U102" s="2" t="s">
        <v>0</v>
      </c>
    </row>
    <row r="103" spans="1:21">
      <c r="A103" s="2" t="s">
        <v>559</v>
      </c>
      <c r="B103" s="2" t="s">
        <v>27</v>
      </c>
      <c r="C103" s="2" t="s">
        <v>560</v>
      </c>
      <c r="D103" s="2" t="s">
        <v>561</v>
      </c>
      <c r="E103" s="2" t="s">
        <v>562</v>
      </c>
      <c r="F103" s="2" t="s">
        <v>563</v>
      </c>
      <c r="G103" s="2" t="s">
        <v>564</v>
      </c>
      <c r="H103" s="2" t="s">
        <v>565</v>
      </c>
      <c r="I103" s="2" t="s">
        <v>0</v>
      </c>
      <c r="J103" s="2" t="s">
        <v>0</v>
      </c>
      <c r="K103" s="2" t="s">
        <v>0</v>
      </c>
      <c r="L103" s="2" t="s">
        <v>0</v>
      </c>
      <c r="M103" s="2" t="s">
        <v>0</v>
      </c>
      <c r="N103" s="2" t="s">
        <v>0</v>
      </c>
      <c r="O103" s="2" t="s">
        <v>82</v>
      </c>
      <c r="P103" s="2" t="s">
        <v>33</v>
      </c>
      <c r="Q103" s="2" t="s">
        <v>83</v>
      </c>
      <c r="R103" s="2" t="s">
        <v>34</v>
      </c>
      <c r="S103" s="2" t="s">
        <v>84</v>
      </c>
      <c r="T103" s="2" t="s">
        <v>35</v>
      </c>
      <c r="U103" s="2" t="s">
        <v>566</v>
      </c>
    </row>
    <row r="104" spans="1:21">
      <c r="A104" s="2" t="s">
        <v>567</v>
      </c>
      <c r="B104" s="2" t="s">
        <v>3</v>
      </c>
      <c r="C104" s="2" t="s">
        <v>568</v>
      </c>
      <c r="D104" s="2" t="s">
        <v>569</v>
      </c>
      <c r="E104" s="2" t="s">
        <v>570</v>
      </c>
      <c r="F104" s="2" t="s">
        <v>203</v>
      </c>
      <c r="G104" s="2" t="s">
        <v>204</v>
      </c>
      <c r="H104" s="2" t="s">
        <v>565</v>
      </c>
      <c r="I104" s="2" t="s">
        <v>0</v>
      </c>
      <c r="J104" s="2" t="s">
        <v>0</v>
      </c>
      <c r="K104" s="2" t="s">
        <v>0</v>
      </c>
      <c r="L104" s="2" t="s">
        <v>0</v>
      </c>
      <c r="M104" s="2" t="s">
        <v>0</v>
      </c>
      <c r="N104" s="2" t="s">
        <v>0</v>
      </c>
      <c r="O104" s="2" t="s">
        <v>82</v>
      </c>
      <c r="P104" s="2" t="s">
        <v>33</v>
      </c>
      <c r="Q104" s="2" t="s">
        <v>83</v>
      </c>
      <c r="R104" s="2" t="s">
        <v>34</v>
      </c>
      <c r="S104" s="2" t="s">
        <v>84</v>
      </c>
      <c r="T104" s="2" t="s">
        <v>18</v>
      </c>
      <c r="U104" s="2" t="s">
        <v>0</v>
      </c>
    </row>
    <row r="105" spans="1:21">
      <c r="A105" s="2" t="s">
        <v>571</v>
      </c>
      <c r="B105" s="2" t="s">
        <v>46</v>
      </c>
      <c r="C105" s="2" t="s">
        <v>572</v>
      </c>
      <c r="D105" s="2" t="s">
        <v>573</v>
      </c>
      <c r="E105" s="2" t="s">
        <v>574</v>
      </c>
      <c r="F105" s="2" t="s">
        <v>575</v>
      </c>
      <c r="G105" s="2" t="s">
        <v>576</v>
      </c>
      <c r="H105" s="2" t="s">
        <v>577</v>
      </c>
      <c r="I105" s="2" t="s">
        <v>0</v>
      </c>
      <c r="J105" s="2" t="s">
        <v>578</v>
      </c>
      <c r="K105" s="2" t="s">
        <v>0</v>
      </c>
      <c r="L105" s="2" t="s">
        <v>0</v>
      </c>
      <c r="M105" s="2" t="s">
        <v>406</v>
      </c>
      <c r="N105" s="2" t="s">
        <v>12</v>
      </c>
      <c r="O105" s="2" t="s">
        <v>13</v>
      </c>
      <c r="P105" s="2" t="s">
        <v>33</v>
      </c>
      <c r="Q105" s="2" t="s">
        <v>83</v>
      </c>
      <c r="R105" s="2" t="s">
        <v>34</v>
      </c>
      <c r="S105" s="2" t="s">
        <v>84</v>
      </c>
      <c r="T105" s="2" t="s">
        <v>18</v>
      </c>
      <c r="U105" s="2" t="s">
        <v>579</v>
      </c>
    </row>
    <row r="106" spans="1:21">
      <c r="A106" s="2" t="s">
        <v>580</v>
      </c>
      <c r="B106" s="2" t="s">
        <v>27</v>
      </c>
      <c r="C106" s="2" t="s">
        <v>581</v>
      </c>
      <c r="D106" s="2" t="s">
        <v>582</v>
      </c>
      <c r="E106" s="2" t="s">
        <v>583</v>
      </c>
      <c r="F106" s="2" t="s">
        <v>584</v>
      </c>
      <c r="G106" s="2" t="s">
        <v>585</v>
      </c>
      <c r="H106" s="2" t="s">
        <v>577</v>
      </c>
      <c r="I106" s="2" t="s">
        <v>0</v>
      </c>
      <c r="J106" s="2" t="s">
        <v>578</v>
      </c>
      <c r="K106" s="2" t="s">
        <v>0</v>
      </c>
      <c r="L106" s="2" t="s">
        <v>0</v>
      </c>
      <c r="M106" s="2" t="s">
        <v>406</v>
      </c>
      <c r="N106" s="2" t="s">
        <v>12</v>
      </c>
      <c r="O106" s="2" t="s">
        <v>13</v>
      </c>
      <c r="P106" s="2" t="s">
        <v>33</v>
      </c>
      <c r="Q106" s="2" t="s">
        <v>83</v>
      </c>
      <c r="R106" s="2" t="s">
        <v>34</v>
      </c>
      <c r="S106" s="2" t="s">
        <v>84</v>
      </c>
      <c r="T106" s="2" t="s">
        <v>35</v>
      </c>
      <c r="U106" s="2" t="s">
        <v>586</v>
      </c>
    </row>
    <row r="107" spans="1:21">
      <c r="A107" s="2" t="s">
        <v>587</v>
      </c>
      <c r="B107" s="2" t="s">
        <v>3</v>
      </c>
      <c r="C107" s="2" t="s">
        <v>588</v>
      </c>
      <c r="D107" s="2" t="s">
        <v>589</v>
      </c>
      <c r="E107" s="2" t="s">
        <v>590</v>
      </c>
      <c r="F107" s="2" t="s">
        <v>7</v>
      </c>
      <c r="G107" s="2" t="s">
        <v>8</v>
      </c>
      <c r="H107" s="2" t="s">
        <v>577</v>
      </c>
      <c r="I107" s="2" t="s">
        <v>0</v>
      </c>
      <c r="J107" s="2" t="s">
        <v>578</v>
      </c>
      <c r="K107" s="2" t="s">
        <v>0</v>
      </c>
      <c r="L107" s="2" t="s">
        <v>0</v>
      </c>
      <c r="M107" s="2" t="s">
        <v>406</v>
      </c>
      <c r="N107" s="2" t="s">
        <v>12</v>
      </c>
      <c r="O107" s="2" t="s">
        <v>13</v>
      </c>
      <c r="P107" s="2" t="s">
        <v>33</v>
      </c>
      <c r="Q107" s="2" t="s">
        <v>83</v>
      </c>
      <c r="R107" s="2" t="s">
        <v>34</v>
      </c>
      <c r="S107" s="2" t="s">
        <v>84</v>
      </c>
      <c r="T107" s="2" t="s">
        <v>18</v>
      </c>
      <c r="U107" s="2" t="s">
        <v>0</v>
      </c>
    </row>
    <row r="108" spans="1:21">
      <c r="A108" s="2" t="s">
        <v>591</v>
      </c>
      <c r="B108" s="2" t="s">
        <v>3</v>
      </c>
      <c r="C108" s="2" t="s">
        <v>592</v>
      </c>
      <c r="D108" s="2" t="s">
        <v>593</v>
      </c>
      <c r="E108" s="2" t="s">
        <v>594</v>
      </c>
      <c r="F108" s="2" t="s">
        <v>595</v>
      </c>
      <c r="G108" s="2" t="s">
        <v>596</v>
      </c>
      <c r="H108" s="2" t="s">
        <v>577</v>
      </c>
      <c r="I108" s="2" t="s">
        <v>0</v>
      </c>
      <c r="J108" s="2" t="s">
        <v>578</v>
      </c>
      <c r="K108" s="2" t="s">
        <v>0</v>
      </c>
      <c r="L108" s="2" t="s">
        <v>0</v>
      </c>
      <c r="M108" s="2" t="s">
        <v>406</v>
      </c>
      <c r="N108" s="2" t="s">
        <v>12</v>
      </c>
      <c r="O108" s="2" t="s">
        <v>13</v>
      </c>
      <c r="P108" s="2" t="s">
        <v>33</v>
      </c>
      <c r="Q108" s="2" t="s">
        <v>83</v>
      </c>
      <c r="R108" s="2" t="s">
        <v>34</v>
      </c>
      <c r="S108" s="2" t="s">
        <v>84</v>
      </c>
      <c r="T108" s="2" t="s">
        <v>18</v>
      </c>
      <c r="U108" s="2" t="s">
        <v>597</v>
      </c>
    </row>
    <row r="109" spans="1:21">
      <c r="A109" s="2" t="s">
        <v>598</v>
      </c>
      <c r="B109" s="2" t="s">
        <v>27</v>
      </c>
      <c r="C109" s="2" t="s">
        <v>599</v>
      </c>
      <c r="D109" s="2" t="s">
        <v>600</v>
      </c>
      <c r="E109" s="2" t="s">
        <v>601</v>
      </c>
      <c r="F109" s="2" t="s">
        <v>595</v>
      </c>
      <c r="G109" s="2" t="s">
        <v>596</v>
      </c>
      <c r="H109" s="2" t="s">
        <v>577</v>
      </c>
      <c r="I109" s="2" t="s">
        <v>0</v>
      </c>
      <c r="J109" s="2" t="s">
        <v>578</v>
      </c>
      <c r="K109" s="2" t="s">
        <v>0</v>
      </c>
      <c r="L109" s="2" t="s">
        <v>0</v>
      </c>
      <c r="M109" s="2" t="s">
        <v>406</v>
      </c>
      <c r="N109" s="2" t="s">
        <v>12</v>
      </c>
      <c r="O109" s="2" t="s">
        <v>13</v>
      </c>
      <c r="P109" s="2" t="s">
        <v>33</v>
      </c>
      <c r="Q109" s="2" t="s">
        <v>83</v>
      </c>
      <c r="R109" s="2" t="s">
        <v>34</v>
      </c>
      <c r="S109" s="2" t="s">
        <v>84</v>
      </c>
      <c r="T109" s="2" t="s">
        <v>35</v>
      </c>
      <c r="U109" s="2" t="s">
        <v>602</v>
      </c>
    </row>
    <row r="110" spans="1:21">
      <c r="A110" s="2" t="s">
        <v>603</v>
      </c>
      <c r="B110" s="2" t="s">
        <v>27</v>
      </c>
      <c r="C110" s="2" t="s">
        <v>604</v>
      </c>
      <c r="D110" s="2" t="s">
        <v>605</v>
      </c>
      <c r="E110" s="2" t="s">
        <v>606</v>
      </c>
      <c r="F110" s="2" t="s">
        <v>418</v>
      </c>
      <c r="G110" s="2" t="s">
        <v>419</v>
      </c>
      <c r="H110" s="2" t="s">
        <v>577</v>
      </c>
      <c r="I110" s="2" t="s">
        <v>0</v>
      </c>
      <c r="J110" s="2" t="s">
        <v>578</v>
      </c>
      <c r="K110" s="2" t="s">
        <v>0</v>
      </c>
      <c r="L110" s="2" t="s">
        <v>0</v>
      </c>
      <c r="M110" s="2" t="s">
        <v>406</v>
      </c>
      <c r="N110" s="2" t="s">
        <v>12</v>
      </c>
      <c r="O110" s="2" t="s">
        <v>13</v>
      </c>
      <c r="P110" s="2" t="s">
        <v>33</v>
      </c>
      <c r="Q110" s="2" t="s">
        <v>83</v>
      </c>
      <c r="R110" s="2" t="s">
        <v>34</v>
      </c>
      <c r="S110" s="2" t="s">
        <v>205</v>
      </c>
      <c r="T110" s="2" t="s">
        <v>35</v>
      </c>
      <c r="U110" s="2" t="s">
        <v>0</v>
      </c>
    </row>
    <row r="111" spans="1:21">
      <c r="A111" s="2" t="s">
        <v>607</v>
      </c>
      <c r="B111" s="2" t="s">
        <v>3</v>
      </c>
      <c r="C111" s="2" t="s">
        <v>608</v>
      </c>
      <c r="D111" s="2" t="s">
        <v>609</v>
      </c>
      <c r="E111" s="2" t="s">
        <v>610</v>
      </c>
      <c r="F111" s="2" t="s">
        <v>611</v>
      </c>
      <c r="G111" s="2" t="s">
        <v>612</v>
      </c>
      <c r="H111" s="2" t="s">
        <v>613</v>
      </c>
      <c r="I111" s="2" t="s">
        <v>0</v>
      </c>
      <c r="J111" s="2" t="s">
        <v>0</v>
      </c>
      <c r="K111" s="2" t="s">
        <v>614</v>
      </c>
      <c r="L111" s="2" t="s">
        <v>0</v>
      </c>
      <c r="M111" s="2" t="s">
        <v>406</v>
      </c>
      <c r="N111" s="2" t="s">
        <v>12</v>
      </c>
      <c r="O111" s="2" t="s">
        <v>13</v>
      </c>
      <c r="P111" s="2" t="s">
        <v>33</v>
      </c>
      <c r="Q111" s="2" t="s">
        <v>83</v>
      </c>
      <c r="R111" s="2" t="s">
        <v>34</v>
      </c>
      <c r="S111" s="2" t="s">
        <v>84</v>
      </c>
      <c r="T111" s="2" t="s">
        <v>18</v>
      </c>
      <c r="U111" s="2" t="s">
        <v>615</v>
      </c>
    </row>
    <row r="112" spans="1:21">
      <c r="A112" s="2" t="s">
        <v>616</v>
      </c>
      <c r="B112" s="2" t="s">
        <v>27</v>
      </c>
      <c r="C112" s="2" t="s">
        <v>617</v>
      </c>
      <c r="D112" s="2" t="s">
        <v>618</v>
      </c>
      <c r="E112" s="2" t="s">
        <v>619</v>
      </c>
      <c r="F112" s="2" t="s">
        <v>418</v>
      </c>
      <c r="G112" s="2" t="s">
        <v>419</v>
      </c>
      <c r="H112" s="2" t="s">
        <v>613</v>
      </c>
      <c r="I112" s="2" t="s">
        <v>0</v>
      </c>
      <c r="J112" s="2" t="s">
        <v>0</v>
      </c>
      <c r="K112" s="2" t="s">
        <v>614</v>
      </c>
      <c r="L112" s="2" t="s">
        <v>0</v>
      </c>
      <c r="M112" s="2" t="s">
        <v>406</v>
      </c>
      <c r="N112" s="2" t="s">
        <v>12</v>
      </c>
      <c r="O112" s="2" t="s">
        <v>13</v>
      </c>
      <c r="P112" s="2" t="s">
        <v>14</v>
      </c>
      <c r="Q112" s="2" t="s">
        <v>52</v>
      </c>
      <c r="R112" s="2" t="s">
        <v>53</v>
      </c>
      <c r="S112" s="2" t="s">
        <v>17</v>
      </c>
      <c r="T112" s="2" t="s">
        <v>35</v>
      </c>
      <c r="U112" s="2" t="s">
        <v>620</v>
      </c>
    </row>
    <row r="113" spans="1:21">
      <c r="A113" s="2" t="s">
        <v>621</v>
      </c>
      <c r="B113" s="2" t="s">
        <v>27</v>
      </c>
      <c r="C113" s="2" t="s">
        <v>622</v>
      </c>
      <c r="D113" s="2" t="s">
        <v>623</v>
      </c>
      <c r="E113" s="2" t="s">
        <v>624</v>
      </c>
      <c r="F113" s="2" t="s">
        <v>625</v>
      </c>
      <c r="G113" s="2" t="s">
        <v>626</v>
      </c>
      <c r="H113" s="2" t="s">
        <v>613</v>
      </c>
      <c r="I113" s="2" t="s">
        <v>0</v>
      </c>
      <c r="J113" s="2" t="s">
        <v>0</v>
      </c>
      <c r="K113" s="2" t="s">
        <v>614</v>
      </c>
      <c r="L113" s="2" t="s">
        <v>0</v>
      </c>
      <c r="M113" s="2" t="s">
        <v>406</v>
      </c>
      <c r="N113" s="2" t="s">
        <v>12</v>
      </c>
      <c r="O113" s="2" t="s">
        <v>13</v>
      </c>
      <c r="P113" s="2" t="s">
        <v>14</v>
      </c>
      <c r="Q113" s="2" t="s">
        <v>52</v>
      </c>
      <c r="R113" s="2" t="s">
        <v>53</v>
      </c>
      <c r="S113" s="2" t="s">
        <v>17</v>
      </c>
      <c r="T113" s="2" t="s">
        <v>35</v>
      </c>
      <c r="U113" s="2" t="s">
        <v>0</v>
      </c>
    </row>
    <row r="114" spans="1:21">
      <c r="A114" s="2" t="s">
        <v>627</v>
      </c>
      <c r="B114" s="2" t="s">
        <v>27</v>
      </c>
      <c r="C114" s="2" t="s">
        <v>628</v>
      </c>
      <c r="D114" s="2" t="s">
        <v>629</v>
      </c>
      <c r="E114" s="2" t="s">
        <v>630</v>
      </c>
      <c r="F114" s="2" t="s">
        <v>631</v>
      </c>
      <c r="G114" s="2" t="s">
        <v>632</v>
      </c>
      <c r="H114" s="2" t="s">
        <v>613</v>
      </c>
      <c r="I114" s="2" t="s">
        <v>0</v>
      </c>
      <c r="J114" s="2" t="s">
        <v>0</v>
      </c>
      <c r="K114" s="2" t="s">
        <v>614</v>
      </c>
      <c r="L114" s="2" t="s">
        <v>0</v>
      </c>
      <c r="M114" s="2" t="s">
        <v>406</v>
      </c>
      <c r="N114" s="2" t="s">
        <v>12</v>
      </c>
      <c r="O114" s="2" t="s">
        <v>13</v>
      </c>
      <c r="P114" s="2" t="s">
        <v>14</v>
      </c>
      <c r="Q114" s="2" t="s">
        <v>52</v>
      </c>
      <c r="R114" s="2" t="s">
        <v>53</v>
      </c>
      <c r="S114" s="2" t="s">
        <v>17</v>
      </c>
      <c r="T114" s="2" t="s">
        <v>35</v>
      </c>
      <c r="U114" s="2" t="s">
        <v>633</v>
      </c>
    </row>
    <row r="115" spans="1:21">
      <c r="A115" s="2" t="s">
        <v>634</v>
      </c>
      <c r="B115" s="2" t="s">
        <v>3</v>
      </c>
      <c r="C115" s="2" t="s">
        <v>635</v>
      </c>
      <c r="D115" s="2" t="s">
        <v>636</v>
      </c>
      <c r="E115" s="2" t="s">
        <v>637</v>
      </c>
      <c r="F115" s="2" t="s">
        <v>638</v>
      </c>
      <c r="G115" s="2" t="s">
        <v>639</v>
      </c>
      <c r="H115" s="2" t="s">
        <v>613</v>
      </c>
      <c r="I115" s="2" t="s">
        <v>0</v>
      </c>
      <c r="J115" s="2" t="s">
        <v>0</v>
      </c>
      <c r="K115" s="2" t="s">
        <v>614</v>
      </c>
      <c r="L115" s="2" t="s">
        <v>0</v>
      </c>
      <c r="M115" s="2" t="s">
        <v>406</v>
      </c>
      <c r="N115" s="2" t="s">
        <v>12</v>
      </c>
      <c r="O115" s="2" t="s">
        <v>13</v>
      </c>
      <c r="P115" s="2" t="s">
        <v>14</v>
      </c>
      <c r="Q115" s="2" t="s">
        <v>52</v>
      </c>
      <c r="R115" s="2" t="s">
        <v>53</v>
      </c>
      <c r="S115" s="2" t="s">
        <v>17</v>
      </c>
      <c r="T115" s="2" t="s">
        <v>18</v>
      </c>
      <c r="U115" s="2" t="s">
        <v>0</v>
      </c>
    </row>
    <row r="116" spans="1:21">
      <c r="A116" s="2" t="s">
        <v>640</v>
      </c>
      <c r="B116" s="2" t="s">
        <v>27</v>
      </c>
      <c r="C116" s="2" t="s">
        <v>641</v>
      </c>
      <c r="D116" s="2" t="s">
        <v>642</v>
      </c>
      <c r="E116" s="2" t="s">
        <v>643</v>
      </c>
      <c r="F116" s="2" t="s">
        <v>625</v>
      </c>
      <c r="G116" s="2" t="s">
        <v>626</v>
      </c>
      <c r="H116" s="2" t="s">
        <v>613</v>
      </c>
      <c r="I116" s="2" t="s">
        <v>0</v>
      </c>
      <c r="J116" s="2" t="s">
        <v>0</v>
      </c>
      <c r="K116" s="2" t="s">
        <v>614</v>
      </c>
      <c r="L116" s="2" t="s">
        <v>0</v>
      </c>
      <c r="M116" s="2" t="s">
        <v>406</v>
      </c>
      <c r="N116" s="2" t="s">
        <v>12</v>
      </c>
      <c r="O116" s="2" t="s">
        <v>13</v>
      </c>
      <c r="P116" s="2" t="s">
        <v>14</v>
      </c>
      <c r="Q116" s="2" t="s">
        <v>52</v>
      </c>
      <c r="R116" s="2" t="s">
        <v>53</v>
      </c>
      <c r="S116" s="2" t="s">
        <v>17</v>
      </c>
      <c r="T116" s="2" t="s">
        <v>35</v>
      </c>
      <c r="U116" s="2" t="s">
        <v>0</v>
      </c>
    </row>
    <row r="117" spans="1:21">
      <c r="A117" s="2" t="s">
        <v>644</v>
      </c>
      <c r="B117" s="2" t="s">
        <v>3</v>
      </c>
      <c r="C117" s="2" t="s">
        <v>645</v>
      </c>
      <c r="D117" s="2" t="s">
        <v>646</v>
      </c>
      <c r="E117" s="2" t="s">
        <v>647</v>
      </c>
      <c r="F117" s="2" t="s">
        <v>418</v>
      </c>
      <c r="G117" s="2" t="s">
        <v>419</v>
      </c>
      <c r="H117" s="2" t="s">
        <v>613</v>
      </c>
      <c r="I117" s="2" t="s">
        <v>0</v>
      </c>
      <c r="J117" s="2" t="s">
        <v>0</v>
      </c>
      <c r="K117" s="2" t="s">
        <v>614</v>
      </c>
      <c r="L117" s="2" t="s">
        <v>0</v>
      </c>
      <c r="M117" s="2" t="s">
        <v>406</v>
      </c>
      <c r="N117" s="2" t="s">
        <v>12</v>
      </c>
      <c r="O117" s="2" t="s">
        <v>13</v>
      </c>
      <c r="P117" s="2" t="s">
        <v>14</v>
      </c>
      <c r="Q117" s="2" t="s">
        <v>52</v>
      </c>
      <c r="R117" s="2" t="s">
        <v>53</v>
      </c>
      <c r="S117" s="2" t="s">
        <v>17</v>
      </c>
      <c r="T117" s="2" t="s">
        <v>18</v>
      </c>
      <c r="U117" s="2" t="s">
        <v>648</v>
      </c>
    </row>
    <row r="118" spans="1:21">
      <c r="A118" s="2" t="s">
        <v>649</v>
      </c>
      <c r="B118" s="2" t="s">
        <v>46</v>
      </c>
      <c r="C118" s="2" t="s">
        <v>650</v>
      </c>
      <c r="D118" s="2" t="s">
        <v>651</v>
      </c>
      <c r="E118" s="2" t="s">
        <v>652</v>
      </c>
      <c r="F118" s="2" t="s">
        <v>7</v>
      </c>
      <c r="G118" s="2" t="s">
        <v>8</v>
      </c>
      <c r="H118" s="2" t="s">
        <v>613</v>
      </c>
      <c r="I118" s="2" t="s">
        <v>0</v>
      </c>
      <c r="J118" s="2" t="s">
        <v>0</v>
      </c>
      <c r="K118" s="2" t="s">
        <v>614</v>
      </c>
      <c r="L118" s="2" t="s">
        <v>0</v>
      </c>
      <c r="M118" s="2" t="s">
        <v>406</v>
      </c>
      <c r="N118" s="2" t="s">
        <v>12</v>
      </c>
      <c r="O118" s="2" t="s">
        <v>13</v>
      </c>
      <c r="P118" s="2" t="s">
        <v>14</v>
      </c>
      <c r="Q118" s="2" t="s">
        <v>52</v>
      </c>
      <c r="R118" s="2" t="s">
        <v>53</v>
      </c>
      <c r="S118" s="2" t="s">
        <v>17</v>
      </c>
      <c r="T118" s="2" t="s">
        <v>18</v>
      </c>
      <c r="U118" s="2" t="s">
        <v>0</v>
      </c>
    </row>
    <row r="119" spans="1:21">
      <c r="A119" s="2" t="s">
        <v>653</v>
      </c>
      <c r="B119" s="2" t="s">
        <v>27</v>
      </c>
      <c r="C119" s="2" t="s">
        <v>654</v>
      </c>
      <c r="D119" s="2" t="s">
        <v>655</v>
      </c>
      <c r="E119" s="2" t="s">
        <v>656</v>
      </c>
      <c r="F119" s="2" t="s">
        <v>418</v>
      </c>
      <c r="G119" s="2" t="s">
        <v>419</v>
      </c>
      <c r="H119" s="2" t="s">
        <v>613</v>
      </c>
      <c r="I119" s="2" t="s">
        <v>0</v>
      </c>
      <c r="J119" s="2" t="s">
        <v>0</v>
      </c>
      <c r="K119" s="2" t="s">
        <v>614</v>
      </c>
      <c r="L119" s="2" t="s">
        <v>0</v>
      </c>
      <c r="M119" s="2" t="s">
        <v>406</v>
      </c>
      <c r="N119" s="2" t="s">
        <v>12</v>
      </c>
      <c r="O119" s="2" t="s">
        <v>13</v>
      </c>
      <c r="P119" s="2" t="s">
        <v>14</v>
      </c>
      <c r="Q119" s="2" t="s">
        <v>52</v>
      </c>
      <c r="R119" s="2" t="s">
        <v>53</v>
      </c>
      <c r="S119" s="2" t="s">
        <v>17</v>
      </c>
      <c r="T119" s="2" t="s">
        <v>35</v>
      </c>
      <c r="U119" s="2" t="s">
        <v>657</v>
      </c>
    </row>
    <row r="120" spans="1:21">
      <c r="A120" s="2" t="s">
        <v>658</v>
      </c>
      <c r="B120" s="2" t="s">
        <v>27</v>
      </c>
      <c r="C120" s="2" t="s">
        <v>659</v>
      </c>
      <c r="D120" s="2" t="s">
        <v>660</v>
      </c>
      <c r="E120" s="2" t="s">
        <v>661</v>
      </c>
      <c r="F120" s="2" t="s">
        <v>662</v>
      </c>
      <c r="G120" s="2" t="s">
        <v>663</v>
      </c>
      <c r="H120" s="2" t="s">
        <v>664</v>
      </c>
      <c r="I120" s="2" t="s">
        <v>0</v>
      </c>
      <c r="J120" s="2" t="s">
        <v>665</v>
      </c>
      <c r="K120" s="2" t="s">
        <v>0</v>
      </c>
      <c r="L120" s="2" t="s">
        <v>405</v>
      </c>
      <c r="M120" s="2" t="s">
        <v>406</v>
      </c>
      <c r="N120" s="2" t="s">
        <v>12</v>
      </c>
      <c r="O120" s="2" t="s">
        <v>13</v>
      </c>
      <c r="P120" s="2" t="s">
        <v>33</v>
      </c>
      <c r="Q120" s="2" t="s">
        <v>83</v>
      </c>
      <c r="R120" s="2" t="s">
        <v>34</v>
      </c>
      <c r="S120" s="2" t="s">
        <v>84</v>
      </c>
      <c r="T120" s="2" t="s">
        <v>35</v>
      </c>
      <c r="U120" s="2" t="s">
        <v>0</v>
      </c>
    </row>
    <row r="121" spans="1:21">
      <c r="A121" s="2" t="s">
        <v>666</v>
      </c>
      <c r="B121" s="2" t="s">
        <v>3</v>
      </c>
      <c r="C121" s="2" t="s">
        <v>667</v>
      </c>
      <c r="D121" s="2" t="s">
        <v>668</v>
      </c>
      <c r="E121" s="2" t="s">
        <v>669</v>
      </c>
      <c r="F121" s="2" t="s">
        <v>670</v>
      </c>
      <c r="G121" s="2" t="s">
        <v>671</v>
      </c>
      <c r="H121" s="2" t="s">
        <v>664</v>
      </c>
      <c r="I121" s="2" t="s">
        <v>0</v>
      </c>
      <c r="J121" s="2" t="s">
        <v>665</v>
      </c>
      <c r="K121" s="2" t="s">
        <v>0</v>
      </c>
      <c r="L121" s="2" t="s">
        <v>405</v>
      </c>
      <c r="M121" s="2" t="s">
        <v>406</v>
      </c>
      <c r="N121" s="2" t="s">
        <v>12</v>
      </c>
      <c r="O121" s="2" t="s">
        <v>13</v>
      </c>
      <c r="P121" s="2" t="s">
        <v>33</v>
      </c>
      <c r="Q121" s="2" t="s">
        <v>83</v>
      </c>
      <c r="R121" s="2" t="s">
        <v>34</v>
      </c>
      <c r="S121" s="2" t="s">
        <v>84</v>
      </c>
      <c r="T121" s="2" t="s">
        <v>18</v>
      </c>
      <c r="U121" s="2" t="s">
        <v>0</v>
      </c>
    </row>
    <row r="122" spans="1:21">
      <c r="A122" s="2" t="s">
        <v>672</v>
      </c>
      <c r="B122" s="2" t="s">
        <v>27</v>
      </c>
      <c r="C122" s="2" t="s">
        <v>673</v>
      </c>
      <c r="D122" s="2" t="s">
        <v>674</v>
      </c>
      <c r="E122" s="2" t="s">
        <v>675</v>
      </c>
      <c r="F122" s="2" t="s">
        <v>676</v>
      </c>
      <c r="G122" s="2" t="s">
        <v>677</v>
      </c>
      <c r="H122" s="2" t="s">
        <v>664</v>
      </c>
      <c r="I122" s="2" t="s">
        <v>0</v>
      </c>
      <c r="J122" s="2" t="s">
        <v>665</v>
      </c>
      <c r="K122" s="2" t="s">
        <v>0</v>
      </c>
      <c r="L122" s="2" t="s">
        <v>405</v>
      </c>
      <c r="M122" s="2" t="s">
        <v>406</v>
      </c>
      <c r="N122" s="2" t="s">
        <v>12</v>
      </c>
      <c r="O122" s="2" t="s">
        <v>13</v>
      </c>
      <c r="P122" s="2" t="s">
        <v>33</v>
      </c>
      <c r="Q122" s="2" t="s">
        <v>83</v>
      </c>
      <c r="R122" s="2" t="s">
        <v>34</v>
      </c>
      <c r="S122" s="2" t="s">
        <v>17</v>
      </c>
      <c r="T122" s="2" t="s">
        <v>35</v>
      </c>
      <c r="U122" s="2" t="s">
        <v>0</v>
      </c>
    </row>
    <row r="123" spans="1:21">
      <c r="A123" s="2" t="s">
        <v>678</v>
      </c>
      <c r="B123" s="2" t="s">
        <v>3</v>
      </c>
      <c r="C123" s="2" t="s">
        <v>679</v>
      </c>
      <c r="D123" s="2" t="s">
        <v>680</v>
      </c>
      <c r="E123" s="2" t="s">
        <v>681</v>
      </c>
      <c r="F123" s="2" t="s">
        <v>418</v>
      </c>
      <c r="G123" s="2" t="s">
        <v>419</v>
      </c>
      <c r="H123" s="2" t="s">
        <v>664</v>
      </c>
      <c r="I123" s="2" t="s">
        <v>0</v>
      </c>
      <c r="J123" s="2" t="s">
        <v>665</v>
      </c>
      <c r="K123" s="2" t="s">
        <v>0</v>
      </c>
      <c r="L123" s="2" t="s">
        <v>405</v>
      </c>
      <c r="M123" s="2" t="s">
        <v>406</v>
      </c>
      <c r="N123" s="2" t="s">
        <v>12</v>
      </c>
      <c r="O123" s="2" t="s">
        <v>13</v>
      </c>
      <c r="P123" s="2" t="s">
        <v>33</v>
      </c>
      <c r="Q123" s="2" t="s">
        <v>83</v>
      </c>
      <c r="R123" s="2" t="s">
        <v>34</v>
      </c>
      <c r="S123" s="2" t="s">
        <v>84</v>
      </c>
      <c r="T123" s="2" t="s">
        <v>18</v>
      </c>
      <c r="U123" s="2" t="s">
        <v>0</v>
      </c>
    </row>
    <row r="124" spans="1:21">
      <c r="A124" s="2" t="s">
        <v>682</v>
      </c>
      <c r="B124" s="2" t="s">
        <v>3</v>
      </c>
      <c r="C124" s="2" t="s">
        <v>683</v>
      </c>
      <c r="D124" s="2" t="s">
        <v>684</v>
      </c>
      <c r="E124" s="2" t="s">
        <v>685</v>
      </c>
      <c r="F124" s="2" t="s">
        <v>418</v>
      </c>
      <c r="G124" s="2" t="s">
        <v>419</v>
      </c>
      <c r="H124" s="2" t="s">
        <v>664</v>
      </c>
      <c r="I124" s="2" t="s">
        <v>0</v>
      </c>
      <c r="J124" s="2" t="s">
        <v>665</v>
      </c>
      <c r="K124" s="2" t="s">
        <v>0</v>
      </c>
      <c r="L124" s="2" t="s">
        <v>405</v>
      </c>
      <c r="M124" s="2" t="s">
        <v>406</v>
      </c>
      <c r="N124" s="2" t="s">
        <v>12</v>
      </c>
      <c r="O124" s="2" t="s">
        <v>13</v>
      </c>
      <c r="P124" s="2" t="s">
        <v>14</v>
      </c>
      <c r="Q124" s="2" t="s">
        <v>15</v>
      </c>
      <c r="R124" s="2" t="s">
        <v>16</v>
      </c>
      <c r="S124" s="2" t="s">
        <v>17</v>
      </c>
      <c r="T124" s="2" t="s">
        <v>18</v>
      </c>
      <c r="U124" s="2" t="s">
        <v>0</v>
      </c>
    </row>
    <row r="125" spans="1:21">
      <c r="A125" s="2" t="s">
        <v>686</v>
      </c>
      <c r="B125" s="2" t="s">
        <v>3</v>
      </c>
      <c r="C125" s="2" t="s">
        <v>687</v>
      </c>
      <c r="D125" s="2" t="s">
        <v>688</v>
      </c>
      <c r="E125" s="2" t="s">
        <v>689</v>
      </c>
      <c r="F125" s="2" t="s">
        <v>638</v>
      </c>
      <c r="G125" s="2" t="s">
        <v>639</v>
      </c>
      <c r="H125" s="2" t="s">
        <v>664</v>
      </c>
      <c r="I125" s="2" t="s">
        <v>0</v>
      </c>
      <c r="J125" s="2" t="s">
        <v>665</v>
      </c>
      <c r="K125" s="2" t="s">
        <v>0</v>
      </c>
      <c r="L125" s="2" t="s">
        <v>405</v>
      </c>
      <c r="M125" s="2" t="s">
        <v>406</v>
      </c>
      <c r="N125" s="2" t="s">
        <v>12</v>
      </c>
      <c r="O125" s="2" t="s">
        <v>13</v>
      </c>
      <c r="P125" s="2" t="s">
        <v>14</v>
      </c>
      <c r="Q125" s="2" t="s">
        <v>15</v>
      </c>
      <c r="R125" s="2" t="s">
        <v>16</v>
      </c>
      <c r="S125" s="2" t="s">
        <v>17</v>
      </c>
      <c r="T125" s="2" t="s">
        <v>18</v>
      </c>
      <c r="U125" s="2" t="s">
        <v>690</v>
      </c>
    </row>
    <row r="126" spans="1:21">
      <c r="A126" s="2" t="s">
        <v>691</v>
      </c>
      <c r="B126" s="2" t="s">
        <v>27</v>
      </c>
      <c r="C126" s="2" t="s">
        <v>692</v>
      </c>
      <c r="D126" s="2" t="s">
        <v>693</v>
      </c>
      <c r="E126" s="2" t="s">
        <v>694</v>
      </c>
      <c r="F126" s="2" t="s">
        <v>695</v>
      </c>
      <c r="G126" s="2" t="s">
        <v>696</v>
      </c>
      <c r="H126" s="2" t="s">
        <v>697</v>
      </c>
      <c r="I126" s="2" t="s">
        <v>698</v>
      </c>
      <c r="J126" s="2" t="s">
        <v>699</v>
      </c>
      <c r="K126" s="2" t="s">
        <v>700</v>
      </c>
      <c r="L126" s="2" t="s">
        <v>0</v>
      </c>
      <c r="M126" s="2" t="s">
        <v>701</v>
      </c>
      <c r="N126" s="2" t="s">
        <v>12</v>
      </c>
      <c r="O126" s="2" t="s">
        <v>0</v>
      </c>
      <c r="P126" s="2" t="s">
        <v>14</v>
      </c>
      <c r="Q126" s="2" t="s">
        <v>52</v>
      </c>
      <c r="R126" s="2" t="s">
        <v>702</v>
      </c>
      <c r="S126" s="2" t="s">
        <v>17</v>
      </c>
      <c r="T126" s="2" t="s">
        <v>35</v>
      </c>
      <c r="U126" s="2" t="s">
        <v>0</v>
      </c>
    </row>
    <row r="127" spans="1:21">
      <c r="A127" s="2" t="s">
        <v>703</v>
      </c>
      <c r="B127" s="2" t="s">
        <v>27</v>
      </c>
      <c r="C127" s="2" t="s">
        <v>704</v>
      </c>
      <c r="D127" s="2" t="s">
        <v>705</v>
      </c>
      <c r="E127" s="2" t="s">
        <v>706</v>
      </c>
      <c r="F127" s="2" t="s">
        <v>226</v>
      </c>
      <c r="G127" s="2" t="s">
        <v>227</v>
      </c>
      <c r="H127" s="2" t="s">
        <v>697</v>
      </c>
      <c r="I127" s="2" t="s">
        <v>698</v>
      </c>
      <c r="J127" s="2" t="s">
        <v>699</v>
      </c>
      <c r="K127" s="2" t="s">
        <v>700</v>
      </c>
      <c r="L127" s="2" t="s">
        <v>0</v>
      </c>
      <c r="M127" s="2" t="s">
        <v>701</v>
      </c>
      <c r="N127" s="2" t="s">
        <v>12</v>
      </c>
      <c r="O127" s="2" t="s">
        <v>0</v>
      </c>
      <c r="P127" s="2" t="s">
        <v>14</v>
      </c>
      <c r="Q127" s="2" t="s">
        <v>52</v>
      </c>
      <c r="R127" s="2" t="s">
        <v>702</v>
      </c>
      <c r="S127" s="2" t="s">
        <v>17</v>
      </c>
      <c r="T127" s="2" t="s">
        <v>35</v>
      </c>
      <c r="U127" s="2" t="s">
        <v>0</v>
      </c>
    </row>
    <row r="128" spans="1:21">
      <c r="A128" s="2" t="s">
        <v>707</v>
      </c>
      <c r="B128" s="2" t="s">
        <v>27</v>
      </c>
      <c r="C128" s="2" t="s">
        <v>708</v>
      </c>
      <c r="D128" s="2" t="s">
        <v>709</v>
      </c>
      <c r="E128" s="2" t="s">
        <v>710</v>
      </c>
      <c r="F128" s="2" t="s">
        <v>226</v>
      </c>
      <c r="G128" s="2" t="s">
        <v>227</v>
      </c>
      <c r="H128" s="2" t="s">
        <v>697</v>
      </c>
      <c r="I128" s="2" t="s">
        <v>698</v>
      </c>
      <c r="J128" s="2" t="s">
        <v>699</v>
      </c>
      <c r="K128" s="2" t="s">
        <v>700</v>
      </c>
      <c r="L128" s="2" t="s">
        <v>0</v>
      </c>
      <c r="M128" s="2" t="s">
        <v>701</v>
      </c>
      <c r="N128" s="2" t="s">
        <v>12</v>
      </c>
      <c r="O128" s="2" t="s">
        <v>0</v>
      </c>
      <c r="P128" s="2" t="s">
        <v>14</v>
      </c>
      <c r="Q128" s="2" t="s">
        <v>52</v>
      </c>
      <c r="R128" s="2" t="s">
        <v>702</v>
      </c>
      <c r="S128" s="2" t="s">
        <v>17</v>
      </c>
      <c r="T128" s="2" t="s">
        <v>35</v>
      </c>
      <c r="U128" s="2" t="s">
        <v>0</v>
      </c>
    </row>
    <row r="129" spans="1:21">
      <c r="A129" s="2" t="s">
        <v>711</v>
      </c>
      <c r="B129" s="2" t="s">
        <v>27</v>
      </c>
      <c r="C129" s="2" t="s">
        <v>110</v>
      </c>
      <c r="D129" s="2" t="s">
        <v>712</v>
      </c>
      <c r="E129" s="2" t="s">
        <v>713</v>
      </c>
      <c r="F129" s="2" t="s">
        <v>714</v>
      </c>
      <c r="G129" s="2" t="s">
        <v>715</v>
      </c>
      <c r="H129" s="2" t="s">
        <v>697</v>
      </c>
      <c r="I129" s="2" t="s">
        <v>698</v>
      </c>
      <c r="J129" s="2" t="s">
        <v>699</v>
      </c>
      <c r="K129" s="2" t="s">
        <v>700</v>
      </c>
      <c r="L129" s="2" t="s">
        <v>0</v>
      </c>
      <c r="M129" s="2" t="s">
        <v>701</v>
      </c>
      <c r="N129" s="2" t="s">
        <v>12</v>
      </c>
      <c r="O129" s="2" t="s">
        <v>0</v>
      </c>
      <c r="P129" s="2" t="s">
        <v>14</v>
      </c>
      <c r="Q129" s="2" t="s">
        <v>52</v>
      </c>
      <c r="R129" s="2" t="s">
        <v>702</v>
      </c>
      <c r="S129" s="2" t="s">
        <v>17</v>
      </c>
      <c r="T129" s="2" t="s">
        <v>35</v>
      </c>
      <c r="U129" s="2" t="s">
        <v>716</v>
      </c>
    </row>
    <row r="130" spans="1:21">
      <c r="A130" s="2" t="s">
        <v>717</v>
      </c>
      <c r="B130" s="2" t="s">
        <v>27</v>
      </c>
      <c r="C130" s="2" t="s">
        <v>718</v>
      </c>
      <c r="D130" s="2" t="s">
        <v>719</v>
      </c>
      <c r="E130" s="2" t="s">
        <v>720</v>
      </c>
      <c r="F130" s="2" t="s">
        <v>226</v>
      </c>
      <c r="G130" s="2" t="s">
        <v>227</v>
      </c>
      <c r="H130" s="2" t="s">
        <v>697</v>
      </c>
      <c r="I130" s="2" t="s">
        <v>698</v>
      </c>
      <c r="J130" s="2" t="s">
        <v>699</v>
      </c>
      <c r="K130" s="2" t="s">
        <v>700</v>
      </c>
      <c r="L130" s="2" t="s">
        <v>0</v>
      </c>
      <c r="M130" s="2" t="s">
        <v>701</v>
      </c>
      <c r="N130" s="2" t="s">
        <v>12</v>
      </c>
      <c r="O130" s="2" t="s">
        <v>0</v>
      </c>
      <c r="P130" s="2" t="s">
        <v>14</v>
      </c>
      <c r="Q130" s="2" t="s">
        <v>52</v>
      </c>
      <c r="R130" s="2" t="s">
        <v>702</v>
      </c>
      <c r="S130" s="2" t="s">
        <v>17</v>
      </c>
      <c r="T130" s="2" t="s">
        <v>35</v>
      </c>
      <c r="U130" s="2" t="s">
        <v>0</v>
      </c>
    </row>
    <row r="131" spans="1:21">
      <c r="A131" s="2" t="s">
        <v>721</v>
      </c>
      <c r="B131" s="2" t="s">
        <v>27</v>
      </c>
      <c r="C131" s="2" t="s">
        <v>722</v>
      </c>
      <c r="D131" s="2" t="s">
        <v>723</v>
      </c>
      <c r="E131" s="2" t="s">
        <v>724</v>
      </c>
      <c r="F131" s="2" t="s">
        <v>695</v>
      </c>
      <c r="G131" s="2" t="s">
        <v>696</v>
      </c>
      <c r="H131" s="2" t="s">
        <v>697</v>
      </c>
      <c r="I131" s="2" t="s">
        <v>698</v>
      </c>
      <c r="J131" s="2" t="s">
        <v>699</v>
      </c>
      <c r="K131" s="2" t="s">
        <v>700</v>
      </c>
      <c r="L131" s="2" t="s">
        <v>0</v>
      </c>
      <c r="M131" s="2" t="s">
        <v>701</v>
      </c>
      <c r="N131" s="2" t="s">
        <v>12</v>
      </c>
      <c r="O131" s="2" t="s">
        <v>0</v>
      </c>
      <c r="P131" s="2" t="s">
        <v>14</v>
      </c>
      <c r="Q131" s="2" t="s">
        <v>52</v>
      </c>
      <c r="R131" s="2" t="s">
        <v>702</v>
      </c>
      <c r="S131" s="2" t="s">
        <v>17</v>
      </c>
      <c r="T131" s="2" t="s">
        <v>35</v>
      </c>
      <c r="U131" s="2" t="s">
        <v>0</v>
      </c>
    </row>
    <row r="132" spans="1:21">
      <c r="A132" s="2" t="s">
        <v>725</v>
      </c>
      <c r="B132" s="2" t="s">
        <v>27</v>
      </c>
      <c r="C132" s="2" t="s">
        <v>726</v>
      </c>
      <c r="D132" s="2" t="s">
        <v>727</v>
      </c>
      <c r="E132" s="2" t="s">
        <v>728</v>
      </c>
      <c r="F132" s="2" t="s">
        <v>226</v>
      </c>
      <c r="G132" s="2" t="s">
        <v>227</v>
      </c>
      <c r="H132" s="2" t="s">
        <v>697</v>
      </c>
      <c r="I132" s="2" t="s">
        <v>698</v>
      </c>
      <c r="J132" s="2" t="s">
        <v>699</v>
      </c>
      <c r="K132" s="2" t="s">
        <v>700</v>
      </c>
      <c r="L132" s="2" t="s">
        <v>0</v>
      </c>
      <c r="M132" s="2" t="s">
        <v>701</v>
      </c>
      <c r="N132" s="2" t="s">
        <v>12</v>
      </c>
      <c r="O132" s="2" t="s">
        <v>0</v>
      </c>
      <c r="P132" s="2" t="s">
        <v>14</v>
      </c>
      <c r="Q132" s="2" t="s">
        <v>52</v>
      </c>
      <c r="R132" s="2" t="s">
        <v>702</v>
      </c>
      <c r="S132" s="2" t="s">
        <v>17</v>
      </c>
      <c r="T132" s="2" t="s">
        <v>35</v>
      </c>
      <c r="U132" s="2" t="s">
        <v>0</v>
      </c>
    </row>
    <row r="133" spans="1:21">
      <c r="A133" s="2" t="s">
        <v>729</v>
      </c>
      <c r="B133" s="2" t="s">
        <v>27</v>
      </c>
      <c r="C133" s="2" t="s">
        <v>730</v>
      </c>
      <c r="D133" s="2" t="s">
        <v>731</v>
      </c>
      <c r="E133" s="2" t="s">
        <v>732</v>
      </c>
      <c r="F133" s="2" t="s">
        <v>695</v>
      </c>
      <c r="G133" s="2" t="s">
        <v>696</v>
      </c>
      <c r="H133" s="2" t="s">
        <v>697</v>
      </c>
      <c r="I133" s="2" t="s">
        <v>698</v>
      </c>
      <c r="J133" s="2" t="s">
        <v>699</v>
      </c>
      <c r="K133" s="2" t="s">
        <v>700</v>
      </c>
      <c r="L133" s="2" t="s">
        <v>0</v>
      </c>
      <c r="M133" s="2" t="s">
        <v>701</v>
      </c>
      <c r="N133" s="2" t="s">
        <v>12</v>
      </c>
      <c r="O133" s="2" t="s">
        <v>0</v>
      </c>
      <c r="P133" s="2" t="s">
        <v>14</v>
      </c>
      <c r="Q133" s="2" t="s">
        <v>52</v>
      </c>
      <c r="R133" s="2" t="s">
        <v>702</v>
      </c>
      <c r="S133" s="2" t="s">
        <v>17</v>
      </c>
      <c r="T133" s="2" t="s">
        <v>35</v>
      </c>
      <c r="U133" s="2" t="s">
        <v>0</v>
      </c>
    </row>
    <row r="134" spans="1:21">
      <c r="A134" s="2" t="s">
        <v>733</v>
      </c>
      <c r="B134" s="2" t="s">
        <v>27</v>
      </c>
      <c r="C134" s="2" t="s">
        <v>734</v>
      </c>
      <c r="D134" s="2" t="s">
        <v>735</v>
      </c>
      <c r="E134" s="2" t="s">
        <v>736</v>
      </c>
      <c r="F134" s="2" t="s">
        <v>695</v>
      </c>
      <c r="G134" s="2" t="s">
        <v>696</v>
      </c>
      <c r="H134" s="2" t="s">
        <v>697</v>
      </c>
      <c r="I134" s="2" t="s">
        <v>698</v>
      </c>
      <c r="J134" s="2" t="s">
        <v>699</v>
      </c>
      <c r="K134" s="2" t="s">
        <v>700</v>
      </c>
      <c r="L134" s="2" t="s">
        <v>0</v>
      </c>
      <c r="M134" s="2" t="s">
        <v>701</v>
      </c>
      <c r="N134" s="2" t="s">
        <v>12</v>
      </c>
      <c r="O134" s="2" t="s">
        <v>0</v>
      </c>
      <c r="P134" s="2" t="s">
        <v>14</v>
      </c>
      <c r="Q134" s="2" t="s">
        <v>52</v>
      </c>
      <c r="R134" s="2" t="s">
        <v>702</v>
      </c>
      <c r="S134" s="2" t="s">
        <v>17</v>
      </c>
      <c r="T134" s="2" t="s">
        <v>35</v>
      </c>
      <c r="U134" s="2" t="s">
        <v>0</v>
      </c>
    </row>
    <row r="135" spans="1:21">
      <c r="A135" s="2" t="s">
        <v>737</v>
      </c>
      <c r="B135" s="2" t="s">
        <v>27</v>
      </c>
      <c r="C135" s="2" t="s">
        <v>738</v>
      </c>
      <c r="D135" s="2" t="s">
        <v>739</v>
      </c>
      <c r="E135" s="2" t="s">
        <v>740</v>
      </c>
      <c r="F135" s="2" t="s">
        <v>695</v>
      </c>
      <c r="G135" s="2" t="s">
        <v>696</v>
      </c>
      <c r="H135" s="2" t="s">
        <v>697</v>
      </c>
      <c r="I135" s="2" t="s">
        <v>698</v>
      </c>
      <c r="J135" s="2" t="s">
        <v>699</v>
      </c>
      <c r="K135" s="2" t="s">
        <v>700</v>
      </c>
      <c r="L135" s="2" t="s">
        <v>0</v>
      </c>
      <c r="M135" s="2" t="s">
        <v>701</v>
      </c>
      <c r="N135" s="2" t="s">
        <v>12</v>
      </c>
      <c r="O135" s="2" t="s">
        <v>0</v>
      </c>
      <c r="P135" s="2" t="s">
        <v>14</v>
      </c>
      <c r="Q135" s="2" t="s">
        <v>52</v>
      </c>
      <c r="R135" s="2" t="s">
        <v>702</v>
      </c>
      <c r="S135" s="2" t="s">
        <v>17</v>
      </c>
      <c r="T135" s="2" t="s">
        <v>35</v>
      </c>
      <c r="U135" s="2" t="s">
        <v>0</v>
      </c>
    </row>
    <row r="136" spans="1:21">
      <c r="A136" s="2" t="s">
        <v>741</v>
      </c>
      <c r="B136" s="2" t="s">
        <v>27</v>
      </c>
      <c r="C136" s="2" t="s">
        <v>742</v>
      </c>
      <c r="D136" s="2" t="s">
        <v>743</v>
      </c>
      <c r="E136" s="2" t="s">
        <v>744</v>
      </c>
      <c r="F136" s="2" t="s">
        <v>714</v>
      </c>
      <c r="G136" s="2" t="s">
        <v>715</v>
      </c>
      <c r="H136" s="2" t="s">
        <v>745</v>
      </c>
      <c r="I136" s="2" t="s">
        <v>746</v>
      </c>
      <c r="J136" s="2" t="s">
        <v>699</v>
      </c>
      <c r="K136" s="2" t="s">
        <v>700</v>
      </c>
      <c r="L136" s="2" t="s">
        <v>0</v>
      </c>
      <c r="M136" s="2" t="s">
        <v>701</v>
      </c>
      <c r="N136" s="2" t="s">
        <v>12</v>
      </c>
      <c r="O136" s="2" t="s">
        <v>0</v>
      </c>
      <c r="P136" s="2" t="s">
        <v>14</v>
      </c>
      <c r="Q136" s="2" t="s">
        <v>52</v>
      </c>
      <c r="R136" s="2" t="s">
        <v>747</v>
      </c>
      <c r="S136" s="2" t="s">
        <v>17</v>
      </c>
      <c r="T136" s="2" t="s">
        <v>35</v>
      </c>
      <c r="U136" s="2" t="s">
        <v>748</v>
      </c>
    </row>
    <row r="137" spans="1:21">
      <c r="A137" s="2" t="s">
        <v>749</v>
      </c>
      <c r="B137" s="2" t="s">
        <v>27</v>
      </c>
      <c r="C137" s="2" t="s">
        <v>750</v>
      </c>
      <c r="D137" s="2" t="s">
        <v>751</v>
      </c>
      <c r="E137" s="2" t="s">
        <v>752</v>
      </c>
      <c r="F137" s="2" t="s">
        <v>226</v>
      </c>
      <c r="G137" s="2" t="s">
        <v>227</v>
      </c>
      <c r="H137" s="2" t="s">
        <v>745</v>
      </c>
      <c r="I137" s="2" t="s">
        <v>746</v>
      </c>
      <c r="J137" s="2" t="s">
        <v>699</v>
      </c>
      <c r="K137" s="2" t="s">
        <v>700</v>
      </c>
      <c r="L137" s="2" t="s">
        <v>0</v>
      </c>
      <c r="M137" s="2" t="s">
        <v>701</v>
      </c>
      <c r="N137" s="2" t="s">
        <v>12</v>
      </c>
      <c r="O137" s="2" t="s">
        <v>0</v>
      </c>
      <c r="P137" s="2" t="s">
        <v>14</v>
      </c>
      <c r="Q137" s="2" t="s">
        <v>52</v>
      </c>
      <c r="R137" s="2" t="s">
        <v>747</v>
      </c>
      <c r="S137" s="2" t="s">
        <v>17</v>
      </c>
      <c r="T137" s="2" t="s">
        <v>35</v>
      </c>
      <c r="U137" s="2" t="s">
        <v>0</v>
      </c>
    </row>
    <row r="138" spans="1:21">
      <c r="A138" s="2" t="s">
        <v>753</v>
      </c>
      <c r="B138" s="2" t="s">
        <v>27</v>
      </c>
      <c r="C138" s="2" t="s">
        <v>754</v>
      </c>
      <c r="D138" s="2" t="s">
        <v>755</v>
      </c>
      <c r="E138" s="2" t="s">
        <v>756</v>
      </c>
      <c r="F138" s="2" t="s">
        <v>695</v>
      </c>
      <c r="G138" s="2" t="s">
        <v>696</v>
      </c>
      <c r="H138" s="2" t="s">
        <v>745</v>
      </c>
      <c r="I138" s="2" t="s">
        <v>746</v>
      </c>
      <c r="J138" s="2" t="s">
        <v>699</v>
      </c>
      <c r="K138" s="2" t="s">
        <v>700</v>
      </c>
      <c r="L138" s="2" t="s">
        <v>0</v>
      </c>
      <c r="M138" s="2" t="s">
        <v>701</v>
      </c>
      <c r="N138" s="2" t="s">
        <v>12</v>
      </c>
      <c r="O138" s="2" t="s">
        <v>0</v>
      </c>
      <c r="P138" s="2" t="s">
        <v>14</v>
      </c>
      <c r="Q138" s="2" t="s">
        <v>52</v>
      </c>
      <c r="R138" s="2" t="s">
        <v>747</v>
      </c>
      <c r="S138" s="2" t="s">
        <v>17</v>
      </c>
      <c r="T138" s="2" t="s">
        <v>35</v>
      </c>
      <c r="U138" s="2" t="s">
        <v>0</v>
      </c>
    </row>
    <row r="139" spans="1:21">
      <c r="A139" s="2" t="s">
        <v>757</v>
      </c>
      <c r="B139" s="2" t="s">
        <v>27</v>
      </c>
      <c r="C139" s="2" t="s">
        <v>758</v>
      </c>
      <c r="D139" s="2" t="s">
        <v>759</v>
      </c>
      <c r="E139" s="2" t="s">
        <v>760</v>
      </c>
      <c r="F139" s="2" t="s">
        <v>226</v>
      </c>
      <c r="G139" s="2" t="s">
        <v>227</v>
      </c>
      <c r="H139" s="2" t="s">
        <v>745</v>
      </c>
      <c r="I139" s="2" t="s">
        <v>746</v>
      </c>
      <c r="J139" s="2" t="s">
        <v>699</v>
      </c>
      <c r="K139" s="2" t="s">
        <v>700</v>
      </c>
      <c r="L139" s="2" t="s">
        <v>0</v>
      </c>
      <c r="M139" s="2" t="s">
        <v>701</v>
      </c>
      <c r="N139" s="2" t="s">
        <v>12</v>
      </c>
      <c r="O139" s="2" t="s">
        <v>0</v>
      </c>
      <c r="P139" s="2" t="s">
        <v>14</v>
      </c>
      <c r="Q139" s="2" t="s">
        <v>52</v>
      </c>
      <c r="R139" s="2" t="s">
        <v>747</v>
      </c>
      <c r="S139" s="2" t="s">
        <v>17</v>
      </c>
      <c r="T139" s="2" t="s">
        <v>35</v>
      </c>
      <c r="U139" s="2" t="s">
        <v>0</v>
      </c>
    </row>
    <row r="140" spans="1:21">
      <c r="A140" s="2" t="s">
        <v>761</v>
      </c>
      <c r="B140" s="2" t="s">
        <v>27</v>
      </c>
      <c r="C140" s="2" t="s">
        <v>762</v>
      </c>
      <c r="D140" s="2" t="s">
        <v>763</v>
      </c>
      <c r="E140" s="2" t="s">
        <v>764</v>
      </c>
      <c r="F140" s="2" t="s">
        <v>695</v>
      </c>
      <c r="G140" s="2" t="s">
        <v>696</v>
      </c>
      <c r="H140" s="2" t="s">
        <v>745</v>
      </c>
      <c r="I140" s="2" t="s">
        <v>746</v>
      </c>
      <c r="J140" s="2" t="s">
        <v>699</v>
      </c>
      <c r="K140" s="2" t="s">
        <v>700</v>
      </c>
      <c r="L140" s="2" t="s">
        <v>0</v>
      </c>
      <c r="M140" s="2" t="s">
        <v>701</v>
      </c>
      <c r="N140" s="2" t="s">
        <v>12</v>
      </c>
      <c r="O140" s="2" t="s">
        <v>0</v>
      </c>
      <c r="P140" s="2" t="s">
        <v>14</v>
      </c>
      <c r="Q140" s="2" t="s">
        <v>52</v>
      </c>
      <c r="R140" s="2" t="s">
        <v>747</v>
      </c>
      <c r="S140" s="2" t="s">
        <v>17</v>
      </c>
      <c r="T140" s="2" t="s">
        <v>35</v>
      </c>
      <c r="U140" s="2" t="s">
        <v>0</v>
      </c>
    </row>
    <row r="141" spans="1:21">
      <c r="A141" s="2" t="s">
        <v>765</v>
      </c>
      <c r="B141" s="2" t="s">
        <v>46</v>
      </c>
      <c r="C141" s="2" t="s">
        <v>766</v>
      </c>
      <c r="D141" s="2" t="s">
        <v>767</v>
      </c>
      <c r="E141" s="2" t="s">
        <v>768</v>
      </c>
      <c r="F141" s="2" t="s">
        <v>7</v>
      </c>
      <c r="G141" s="2" t="s">
        <v>8</v>
      </c>
      <c r="H141" s="2" t="s">
        <v>769</v>
      </c>
      <c r="I141" s="2" t="s">
        <v>0</v>
      </c>
      <c r="J141" s="2" t="s">
        <v>770</v>
      </c>
      <c r="K141" s="2" t="s">
        <v>700</v>
      </c>
      <c r="L141" s="2" t="s">
        <v>0</v>
      </c>
      <c r="M141" s="2" t="s">
        <v>701</v>
      </c>
      <c r="N141" s="2" t="s">
        <v>12</v>
      </c>
      <c r="O141" s="2" t="s">
        <v>13</v>
      </c>
      <c r="P141" s="2" t="s">
        <v>14</v>
      </c>
      <c r="Q141" s="2" t="s">
        <v>52</v>
      </c>
      <c r="R141" s="2" t="s">
        <v>53</v>
      </c>
      <c r="S141" s="2" t="s">
        <v>17</v>
      </c>
      <c r="T141" s="2" t="s">
        <v>18</v>
      </c>
      <c r="U141" s="2" t="s">
        <v>0</v>
      </c>
    </row>
    <row r="142" spans="1:21">
      <c r="A142" s="2" t="s">
        <v>771</v>
      </c>
      <c r="B142" s="2" t="s">
        <v>27</v>
      </c>
      <c r="C142" s="2" t="s">
        <v>772</v>
      </c>
      <c r="D142" s="2" t="s">
        <v>773</v>
      </c>
      <c r="E142" s="2" t="s">
        <v>774</v>
      </c>
      <c r="F142" s="2" t="s">
        <v>775</v>
      </c>
      <c r="G142" s="2" t="s">
        <v>776</v>
      </c>
      <c r="H142" s="2" t="s">
        <v>769</v>
      </c>
      <c r="I142" s="2" t="s">
        <v>0</v>
      </c>
      <c r="J142" s="2" t="s">
        <v>770</v>
      </c>
      <c r="K142" s="2" t="s">
        <v>700</v>
      </c>
      <c r="L142" s="2" t="s">
        <v>0</v>
      </c>
      <c r="M142" s="2" t="s">
        <v>701</v>
      </c>
      <c r="N142" s="2" t="s">
        <v>12</v>
      </c>
      <c r="O142" s="2" t="s">
        <v>13</v>
      </c>
      <c r="P142" s="2" t="s">
        <v>14</v>
      </c>
      <c r="Q142" s="2" t="s">
        <v>52</v>
      </c>
      <c r="R142" s="2" t="s">
        <v>53</v>
      </c>
      <c r="S142" s="2" t="s">
        <v>17</v>
      </c>
      <c r="T142" s="2" t="s">
        <v>35</v>
      </c>
      <c r="U142" s="2" t="s">
        <v>0</v>
      </c>
    </row>
    <row r="143" spans="1:21">
      <c r="A143" s="2" t="s">
        <v>777</v>
      </c>
      <c r="B143" s="2" t="s">
        <v>27</v>
      </c>
      <c r="C143" s="2" t="s">
        <v>778</v>
      </c>
      <c r="D143" s="2" t="s">
        <v>779</v>
      </c>
      <c r="E143" s="2" t="s">
        <v>780</v>
      </c>
      <c r="F143" s="2" t="s">
        <v>714</v>
      </c>
      <c r="G143" s="2" t="s">
        <v>781</v>
      </c>
      <c r="H143" s="2" t="s">
        <v>782</v>
      </c>
      <c r="I143" s="2" t="s">
        <v>783</v>
      </c>
      <c r="J143" s="2" t="s">
        <v>770</v>
      </c>
      <c r="K143" s="2" t="s">
        <v>700</v>
      </c>
      <c r="L143" s="2" t="s">
        <v>0</v>
      </c>
      <c r="M143" s="2" t="s">
        <v>701</v>
      </c>
      <c r="N143" s="2" t="s">
        <v>12</v>
      </c>
      <c r="O143" s="2" t="s">
        <v>0</v>
      </c>
      <c r="P143" s="2" t="s">
        <v>14</v>
      </c>
      <c r="Q143" s="2" t="s">
        <v>15</v>
      </c>
      <c r="R143" s="2" t="s">
        <v>16</v>
      </c>
      <c r="S143" s="2" t="s">
        <v>17</v>
      </c>
      <c r="T143" s="2" t="s">
        <v>35</v>
      </c>
      <c r="U143" s="2" t="s">
        <v>784</v>
      </c>
    </row>
    <row r="144" spans="1:21">
      <c r="A144" s="2" t="s">
        <v>785</v>
      </c>
      <c r="B144" s="2" t="s">
        <v>27</v>
      </c>
      <c r="C144" s="2" t="s">
        <v>786</v>
      </c>
      <c r="D144" s="2" t="s">
        <v>787</v>
      </c>
      <c r="E144" s="2" t="s">
        <v>788</v>
      </c>
      <c r="F144" s="2" t="s">
        <v>226</v>
      </c>
      <c r="G144" s="2" t="s">
        <v>227</v>
      </c>
      <c r="H144" s="2" t="s">
        <v>782</v>
      </c>
      <c r="I144" s="2" t="s">
        <v>783</v>
      </c>
      <c r="J144" s="2" t="s">
        <v>770</v>
      </c>
      <c r="K144" s="2" t="s">
        <v>700</v>
      </c>
      <c r="L144" s="2" t="s">
        <v>0</v>
      </c>
      <c r="M144" s="2" t="s">
        <v>701</v>
      </c>
      <c r="N144" s="2" t="s">
        <v>12</v>
      </c>
      <c r="O144" s="2" t="s">
        <v>0</v>
      </c>
      <c r="P144" s="2" t="s">
        <v>14</v>
      </c>
      <c r="Q144" s="2" t="s">
        <v>52</v>
      </c>
      <c r="R144" s="2" t="s">
        <v>53</v>
      </c>
      <c r="S144" s="2" t="s">
        <v>17</v>
      </c>
      <c r="T144" s="2" t="s">
        <v>35</v>
      </c>
      <c r="U144" s="2" t="s">
        <v>0</v>
      </c>
    </row>
    <row r="145" spans="1:21">
      <c r="A145" s="2" t="s">
        <v>789</v>
      </c>
      <c r="B145" s="2" t="s">
        <v>27</v>
      </c>
      <c r="C145" s="2" t="s">
        <v>790</v>
      </c>
      <c r="D145" s="2" t="s">
        <v>791</v>
      </c>
      <c r="E145" s="2" t="s">
        <v>792</v>
      </c>
      <c r="F145" s="2" t="s">
        <v>226</v>
      </c>
      <c r="G145" s="2" t="s">
        <v>227</v>
      </c>
      <c r="H145" s="2" t="s">
        <v>782</v>
      </c>
      <c r="I145" s="2" t="s">
        <v>783</v>
      </c>
      <c r="J145" s="2" t="s">
        <v>770</v>
      </c>
      <c r="K145" s="2" t="s">
        <v>700</v>
      </c>
      <c r="L145" s="2" t="s">
        <v>0</v>
      </c>
      <c r="M145" s="2" t="s">
        <v>701</v>
      </c>
      <c r="N145" s="2" t="s">
        <v>12</v>
      </c>
      <c r="O145" s="2" t="s">
        <v>0</v>
      </c>
      <c r="P145" s="2" t="s">
        <v>14</v>
      </c>
      <c r="Q145" s="2" t="s">
        <v>52</v>
      </c>
      <c r="R145" s="2" t="s">
        <v>53</v>
      </c>
      <c r="S145" s="2" t="s">
        <v>17</v>
      </c>
      <c r="T145" s="2" t="s">
        <v>35</v>
      </c>
      <c r="U145" s="2" t="s">
        <v>0</v>
      </c>
    </row>
    <row r="146" spans="1:21">
      <c r="A146" s="2" t="s">
        <v>793</v>
      </c>
      <c r="B146" s="2" t="s">
        <v>27</v>
      </c>
      <c r="C146" s="2" t="s">
        <v>794</v>
      </c>
      <c r="D146" s="2" t="s">
        <v>795</v>
      </c>
      <c r="E146" s="2" t="s">
        <v>796</v>
      </c>
      <c r="F146" s="2" t="s">
        <v>226</v>
      </c>
      <c r="G146" s="2" t="s">
        <v>227</v>
      </c>
      <c r="H146" s="2" t="s">
        <v>782</v>
      </c>
      <c r="I146" s="2" t="s">
        <v>783</v>
      </c>
      <c r="J146" s="2" t="s">
        <v>770</v>
      </c>
      <c r="K146" s="2" t="s">
        <v>700</v>
      </c>
      <c r="L146" s="2" t="s">
        <v>0</v>
      </c>
      <c r="M146" s="2" t="s">
        <v>701</v>
      </c>
      <c r="N146" s="2" t="s">
        <v>12</v>
      </c>
      <c r="O146" s="2" t="s">
        <v>0</v>
      </c>
      <c r="P146" s="2" t="s">
        <v>14</v>
      </c>
      <c r="Q146" s="2" t="s">
        <v>52</v>
      </c>
      <c r="R146" s="2" t="s">
        <v>53</v>
      </c>
      <c r="S146" s="2" t="s">
        <v>17</v>
      </c>
      <c r="T146" s="2" t="s">
        <v>35</v>
      </c>
      <c r="U146" s="2" t="s">
        <v>0</v>
      </c>
    </row>
    <row r="147" spans="1:21">
      <c r="A147" s="2" t="s">
        <v>797</v>
      </c>
      <c r="B147" s="2" t="s">
        <v>27</v>
      </c>
      <c r="C147" s="2" t="s">
        <v>798</v>
      </c>
      <c r="D147" s="2" t="s">
        <v>799</v>
      </c>
      <c r="E147" s="2" t="s">
        <v>800</v>
      </c>
      <c r="F147" s="2" t="s">
        <v>226</v>
      </c>
      <c r="G147" s="2" t="s">
        <v>227</v>
      </c>
      <c r="H147" s="2" t="s">
        <v>782</v>
      </c>
      <c r="I147" s="2" t="s">
        <v>783</v>
      </c>
      <c r="J147" s="2" t="s">
        <v>770</v>
      </c>
      <c r="K147" s="2" t="s">
        <v>700</v>
      </c>
      <c r="L147" s="2" t="s">
        <v>0</v>
      </c>
      <c r="M147" s="2" t="s">
        <v>701</v>
      </c>
      <c r="N147" s="2" t="s">
        <v>12</v>
      </c>
      <c r="O147" s="2" t="s">
        <v>0</v>
      </c>
      <c r="P147" s="2" t="s">
        <v>14</v>
      </c>
      <c r="Q147" s="2" t="s">
        <v>52</v>
      </c>
      <c r="R147" s="2" t="s">
        <v>53</v>
      </c>
      <c r="S147" s="2" t="s">
        <v>17</v>
      </c>
      <c r="T147" s="2" t="s">
        <v>35</v>
      </c>
      <c r="U147" s="2" t="s">
        <v>0</v>
      </c>
    </row>
    <row r="148" spans="1:21">
      <c r="A148" s="2" t="s">
        <v>801</v>
      </c>
      <c r="B148" s="2" t="s">
        <v>27</v>
      </c>
      <c r="C148" s="2" t="s">
        <v>802</v>
      </c>
      <c r="D148" s="2" t="s">
        <v>803</v>
      </c>
      <c r="E148" s="2" t="s">
        <v>804</v>
      </c>
      <c r="F148" s="2" t="s">
        <v>805</v>
      </c>
      <c r="G148" s="2" t="s">
        <v>806</v>
      </c>
      <c r="H148" s="2" t="s">
        <v>807</v>
      </c>
      <c r="I148" s="2" t="s">
        <v>0</v>
      </c>
      <c r="J148" s="2" t="s">
        <v>0</v>
      </c>
      <c r="K148" s="2" t="s">
        <v>0</v>
      </c>
      <c r="L148" s="2" t="s">
        <v>0</v>
      </c>
      <c r="M148" s="2" t="s">
        <v>0</v>
      </c>
      <c r="N148" s="2" t="s">
        <v>12</v>
      </c>
      <c r="O148" s="2" t="s">
        <v>82</v>
      </c>
      <c r="P148" s="2" t="s">
        <v>33</v>
      </c>
      <c r="Q148" s="2" t="s">
        <v>83</v>
      </c>
      <c r="R148" s="2" t="s">
        <v>34</v>
      </c>
      <c r="S148" s="2" t="s">
        <v>84</v>
      </c>
      <c r="T148" s="2" t="s">
        <v>35</v>
      </c>
      <c r="U148" s="2" t="s">
        <v>808</v>
      </c>
    </row>
    <row r="149" spans="1:21">
      <c r="A149" s="2" t="s">
        <v>809</v>
      </c>
      <c r="B149" s="2" t="s">
        <v>3</v>
      </c>
      <c r="C149" s="2" t="s">
        <v>810</v>
      </c>
      <c r="D149" s="2" t="s">
        <v>811</v>
      </c>
      <c r="E149" s="2" t="s">
        <v>812</v>
      </c>
      <c r="F149" s="2" t="s">
        <v>203</v>
      </c>
      <c r="G149" s="2" t="s">
        <v>204</v>
      </c>
      <c r="H149" s="2" t="s">
        <v>807</v>
      </c>
      <c r="I149" s="2" t="s">
        <v>0</v>
      </c>
      <c r="J149" s="2" t="s">
        <v>0</v>
      </c>
      <c r="K149" s="2" t="s">
        <v>0</v>
      </c>
      <c r="L149" s="2" t="s">
        <v>0</v>
      </c>
      <c r="M149" s="2" t="s">
        <v>0</v>
      </c>
      <c r="N149" s="2" t="s">
        <v>12</v>
      </c>
      <c r="O149" s="2" t="s">
        <v>82</v>
      </c>
      <c r="P149" s="2" t="s">
        <v>33</v>
      </c>
      <c r="Q149" s="2" t="s">
        <v>83</v>
      </c>
      <c r="R149" s="2" t="s">
        <v>34</v>
      </c>
      <c r="S149" s="2" t="s">
        <v>84</v>
      </c>
      <c r="T149" s="2" t="s">
        <v>18</v>
      </c>
      <c r="U149" s="2" t="s">
        <v>0</v>
      </c>
    </row>
    <row r="150" spans="1:21">
      <c r="A150" s="2" t="s">
        <v>813</v>
      </c>
      <c r="B150" s="2" t="s">
        <v>46</v>
      </c>
      <c r="C150" s="2" t="s">
        <v>814</v>
      </c>
      <c r="D150" s="2" t="s">
        <v>815</v>
      </c>
      <c r="E150" s="2" t="s">
        <v>816</v>
      </c>
      <c r="F150" s="2" t="s">
        <v>7</v>
      </c>
      <c r="G150" s="2" t="s">
        <v>8</v>
      </c>
      <c r="H150" s="2" t="s">
        <v>817</v>
      </c>
      <c r="I150" s="2" t="s">
        <v>0</v>
      </c>
      <c r="J150" s="2" t="s">
        <v>818</v>
      </c>
      <c r="K150" s="2" t="s">
        <v>700</v>
      </c>
      <c r="L150" s="2" t="s">
        <v>0</v>
      </c>
      <c r="M150" s="2" t="s">
        <v>701</v>
      </c>
      <c r="N150" s="2" t="s">
        <v>12</v>
      </c>
      <c r="O150" s="2" t="s">
        <v>13</v>
      </c>
      <c r="P150" s="2" t="s">
        <v>14</v>
      </c>
      <c r="Q150" s="2" t="s">
        <v>819</v>
      </c>
      <c r="R150" s="2" t="s">
        <v>820</v>
      </c>
      <c r="S150" s="2" t="s">
        <v>17</v>
      </c>
      <c r="T150" s="2" t="s">
        <v>18</v>
      </c>
      <c r="U150" s="2" t="s">
        <v>0</v>
      </c>
    </row>
    <row r="151" spans="1:21">
      <c r="A151" s="2" t="s">
        <v>821</v>
      </c>
      <c r="B151" s="2" t="s">
        <v>27</v>
      </c>
      <c r="C151" s="2" t="s">
        <v>822</v>
      </c>
      <c r="D151" s="2" t="s">
        <v>823</v>
      </c>
      <c r="E151" s="2" t="s">
        <v>824</v>
      </c>
      <c r="F151" s="2" t="s">
        <v>825</v>
      </c>
      <c r="G151" s="2" t="s">
        <v>826</v>
      </c>
      <c r="H151" s="2" t="s">
        <v>817</v>
      </c>
      <c r="I151" s="2" t="s">
        <v>0</v>
      </c>
      <c r="J151" s="2" t="s">
        <v>818</v>
      </c>
      <c r="K151" s="2" t="s">
        <v>700</v>
      </c>
      <c r="L151" s="2" t="s">
        <v>0</v>
      </c>
      <c r="M151" s="2" t="s">
        <v>701</v>
      </c>
      <c r="N151" s="2" t="s">
        <v>12</v>
      </c>
      <c r="O151" s="2" t="s">
        <v>13</v>
      </c>
      <c r="P151" s="2" t="s">
        <v>14</v>
      </c>
      <c r="Q151" s="2" t="s">
        <v>819</v>
      </c>
      <c r="R151" s="2" t="s">
        <v>820</v>
      </c>
      <c r="S151" s="2" t="s">
        <v>17</v>
      </c>
      <c r="T151" s="2" t="s">
        <v>35</v>
      </c>
      <c r="U151" s="2" t="s">
        <v>827</v>
      </c>
    </row>
    <row r="152" spans="1:21">
      <c r="A152" s="2" t="s">
        <v>828</v>
      </c>
      <c r="B152" s="2" t="s">
        <v>27</v>
      </c>
      <c r="C152" s="2" t="s">
        <v>829</v>
      </c>
      <c r="D152" s="2" t="s">
        <v>830</v>
      </c>
      <c r="E152" s="2" t="s">
        <v>831</v>
      </c>
      <c r="F152" s="2" t="s">
        <v>832</v>
      </c>
      <c r="G152" s="2" t="s">
        <v>833</v>
      </c>
      <c r="H152" s="2" t="s">
        <v>834</v>
      </c>
      <c r="I152" s="2" t="s">
        <v>835</v>
      </c>
      <c r="J152" s="2" t="s">
        <v>836</v>
      </c>
      <c r="K152" s="2" t="s">
        <v>0</v>
      </c>
      <c r="L152" s="2" t="s">
        <v>837</v>
      </c>
      <c r="M152" s="2" t="s">
        <v>701</v>
      </c>
      <c r="N152" s="2" t="s">
        <v>12</v>
      </c>
      <c r="O152" s="2" t="s">
        <v>0</v>
      </c>
      <c r="P152" s="2" t="s">
        <v>14</v>
      </c>
      <c r="Q152" s="2" t="s">
        <v>156</v>
      </c>
      <c r="R152" s="2" t="s">
        <v>838</v>
      </c>
      <c r="S152" s="2" t="s">
        <v>17</v>
      </c>
      <c r="T152" s="2" t="s">
        <v>35</v>
      </c>
      <c r="U152" s="2" t="s">
        <v>839</v>
      </c>
    </row>
    <row r="153" spans="1:21">
      <c r="A153" s="2" t="s">
        <v>840</v>
      </c>
      <c r="B153" s="2" t="s">
        <v>27</v>
      </c>
      <c r="C153" s="2" t="s">
        <v>841</v>
      </c>
      <c r="D153" s="2" t="s">
        <v>842</v>
      </c>
      <c r="E153" s="2" t="s">
        <v>843</v>
      </c>
      <c r="F153" s="2" t="s">
        <v>844</v>
      </c>
      <c r="G153" s="2" t="s">
        <v>845</v>
      </c>
      <c r="H153" s="2" t="s">
        <v>834</v>
      </c>
      <c r="I153" s="2" t="s">
        <v>835</v>
      </c>
      <c r="J153" s="2" t="s">
        <v>836</v>
      </c>
      <c r="K153" s="2" t="s">
        <v>0</v>
      </c>
      <c r="L153" s="2" t="s">
        <v>837</v>
      </c>
      <c r="M153" s="2" t="s">
        <v>701</v>
      </c>
      <c r="N153" s="2" t="s">
        <v>12</v>
      </c>
      <c r="O153" s="2" t="s">
        <v>0</v>
      </c>
      <c r="P153" s="2" t="s">
        <v>14</v>
      </c>
      <c r="Q153" s="2" t="s">
        <v>156</v>
      </c>
      <c r="R153" s="2" t="s">
        <v>838</v>
      </c>
      <c r="S153" s="2" t="s">
        <v>17</v>
      </c>
      <c r="T153" s="2" t="s">
        <v>35</v>
      </c>
      <c r="U153" s="2" t="s">
        <v>0</v>
      </c>
    </row>
    <row r="154" spans="1:21">
      <c r="A154" s="2" t="s">
        <v>846</v>
      </c>
      <c r="B154" s="2" t="s">
        <v>27</v>
      </c>
      <c r="C154" s="2" t="s">
        <v>847</v>
      </c>
      <c r="D154" s="2" t="s">
        <v>848</v>
      </c>
      <c r="E154" s="2" t="s">
        <v>849</v>
      </c>
      <c r="F154" s="2" t="s">
        <v>844</v>
      </c>
      <c r="G154" s="2" t="s">
        <v>845</v>
      </c>
      <c r="H154" s="2" t="s">
        <v>834</v>
      </c>
      <c r="I154" s="2" t="s">
        <v>835</v>
      </c>
      <c r="J154" s="2" t="s">
        <v>836</v>
      </c>
      <c r="K154" s="2" t="s">
        <v>0</v>
      </c>
      <c r="L154" s="2" t="s">
        <v>837</v>
      </c>
      <c r="M154" s="2" t="s">
        <v>701</v>
      </c>
      <c r="N154" s="2" t="s">
        <v>12</v>
      </c>
      <c r="O154" s="2" t="s">
        <v>0</v>
      </c>
      <c r="P154" s="2" t="s">
        <v>14</v>
      </c>
      <c r="Q154" s="2" t="s">
        <v>156</v>
      </c>
      <c r="R154" s="2" t="s">
        <v>838</v>
      </c>
      <c r="S154" s="2" t="s">
        <v>17</v>
      </c>
      <c r="T154" s="2" t="s">
        <v>35</v>
      </c>
      <c r="U154" s="2" t="s">
        <v>0</v>
      </c>
    </row>
    <row r="155" spans="1:21">
      <c r="A155" s="2" t="s">
        <v>850</v>
      </c>
      <c r="B155" s="2" t="s">
        <v>27</v>
      </c>
      <c r="C155" s="2" t="s">
        <v>851</v>
      </c>
      <c r="D155" s="2" t="s">
        <v>852</v>
      </c>
      <c r="E155" s="2" t="s">
        <v>853</v>
      </c>
      <c r="F155" s="2" t="s">
        <v>844</v>
      </c>
      <c r="G155" s="2" t="s">
        <v>845</v>
      </c>
      <c r="H155" s="2" t="s">
        <v>834</v>
      </c>
      <c r="I155" s="2" t="s">
        <v>835</v>
      </c>
      <c r="J155" s="2" t="s">
        <v>836</v>
      </c>
      <c r="K155" s="2" t="s">
        <v>0</v>
      </c>
      <c r="L155" s="2" t="s">
        <v>837</v>
      </c>
      <c r="M155" s="2" t="s">
        <v>701</v>
      </c>
      <c r="N155" s="2" t="s">
        <v>12</v>
      </c>
      <c r="O155" s="2" t="s">
        <v>0</v>
      </c>
      <c r="P155" s="2" t="s">
        <v>149</v>
      </c>
      <c r="Q155" s="2" t="s">
        <v>156</v>
      </c>
      <c r="R155" s="2" t="s">
        <v>151</v>
      </c>
      <c r="S155" s="2" t="s">
        <v>17</v>
      </c>
      <c r="T155" s="2" t="s">
        <v>35</v>
      </c>
      <c r="U155" s="2" t="s">
        <v>0</v>
      </c>
    </row>
    <row r="156" spans="1:21">
      <c r="A156" s="2" t="s">
        <v>854</v>
      </c>
      <c r="B156" s="2" t="s">
        <v>27</v>
      </c>
      <c r="C156" s="2" t="s">
        <v>855</v>
      </c>
      <c r="D156" s="2" t="s">
        <v>856</v>
      </c>
      <c r="E156" s="2" t="s">
        <v>857</v>
      </c>
      <c r="F156" s="2" t="s">
        <v>226</v>
      </c>
      <c r="G156" s="2" t="s">
        <v>227</v>
      </c>
      <c r="H156" s="2" t="s">
        <v>858</v>
      </c>
      <c r="I156" s="2" t="s">
        <v>859</v>
      </c>
      <c r="J156" s="2" t="s">
        <v>818</v>
      </c>
      <c r="K156" s="2" t="s">
        <v>700</v>
      </c>
      <c r="L156" s="2" t="s">
        <v>0</v>
      </c>
      <c r="M156" s="2" t="s">
        <v>701</v>
      </c>
      <c r="N156" s="2" t="s">
        <v>12</v>
      </c>
      <c r="O156" s="2" t="s">
        <v>0</v>
      </c>
      <c r="P156" s="2" t="s">
        <v>14</v>
      </c>
      <c r="Q156" s="2" t="s">
        <v>15</v>
      </c>
      <c r="R156" s="2" t="s">
        <v>16</v>
      </c>
      <c r="S156" s="2" t="s">
        <v>17</v>
      </c>
      <c r="T156" s="2" t="s">
        <v>35</v>
      </c>
      <c r="U156" s="2" t="s">
        <v>860</v>
      </c>
    </row>
    <row r="157" spans="1:21">
      <c r="A157" s="2" t="s">
        <v>861</v>
      </c>
      <c r="B157" s="2" t="s">
        <v>27</v>
      </c>
      <c r="C157" s="2" t="s">
        <v>862</v>
      </c>
      <c r="D157" s="2" t="s">
        <v>863</v>
      </c>
      <c r="E157" s="2" t="s">
        <v>864</v>
      </c>
      <c r="F157" s="2" t="s">
        <v>226</v>
      </c>
      <c r="G157" s="2" t="s">
        <v>227</v>
      </c>
      <c r="H157" s="2" t="s">
        <v>858</v>
      </c>
      <c r="I157" s="2" t="s">
        <v>859</v>
      </c>
      <c r="J157" s="2" t="s">
        <v>818</v>
      </c>
      <c r="K157" s="2" t="s">
        <v>700</v>
      </c>
      <c r="L157" s="2" t="s">
        <v>0</v>
      </c>
      <c r="M157" s="2" t="s">
        <v>701</v>
      </c>
      <c r="N157" s="2" t="s">
        <v>12</v>
      </c>
      <c r="O157" s="2" t="s">
        <v>0</v>
      </c>
      <c r="P157" s="2" t="s">
        <v>14</v>
      </c>
      <c r="Q157" s="2" t="s">
        <v>15</v>
      </c>
      <c r="R157" s="2" t="s">
        <v>16</v>
      </c>
      <c r="S157" s="2" t="s">
        <v>17</v>
      </c>
      <c r="T157" s="2" t="s">
        <v>35</v>
      </c>
      <c r="U157" s="2" t="s">
        <v>0</v>
      </c>
    </row>
    <row r="158" spans="1:21">
      <c r="A158" s="2" t="s">
        <v>865</v>
      </c>
      <c r="B158" s="2" t="s">
        <v>27</v>
      </c>
      <c r="C158" s="2" t="s">
        <v>866</v>
      </c>
      <c r="D158" s="2" t="s">
        <v>867</v>
      </c>
      <c r="E158" s="2" t="s">
        <v>868</v>
      </c>
      <c r="F158" s="2" t="s">
        <v>832</v>
      </c>
      <c r="G158" s="2" t="s">
        <v>833</v>
      </c>
      <c r="H158" s="2" t="s">
        <v>858</v>
      </c>
      <c r="I158" s="2" t="s">
        <v>859</v>
      </c>
      <c r="J158" s="2" t="s">
        <v>818</v>
      </c>
      <c r="K158" s="2" t="s">
        <v>700</v>
      </c>
      <c r="L158" s="2" t="s">
        <v>0</v>
      </c>
      <c r="M158" s="2" t="s">
        <v>701</v>
      </c>
      <c r="N158" s="2" t="s">
        <v>12</v>
      </c>
      <c r="O158" s="2" t="s">
        <v>0</v>
      </c>
      <c r="P158" s="2" t="s">
        <v>14</v>
      </c>
      <c r="Q158" s="2" t="s">
        <v>15</v>
      </c>
      <c r="R158" s="2" t="s">
        <v>16</v>
      </c>
      <c r="S158" s="2" t="s">
        <v>17</v>
      </c>
      <c r="T158" s="2" t="s">
        <v>35</v>
      </c>
      <c r="U158" s="2" t="s">
        <v>869</v>
      </c>
    </row>
    <row r="159" spans="1:21">
      <c r="A159" s="2" t="s">
        <v>870</v>
      </c>
      <c r="B159" s="2" t="s">
        <v>27</v>
      </c>
      <c r="C159" s="2" t="s">
        <v>871</v>
      </c>
      <c r="D159" s="2" t="s">
        <v>872</v>
      </c>
      <c r="E159" s="2" t="s">
        <v>873</v>
      </c>
      <c r="F159" s="2" t="s">
        <v>226</v>
      </c>
      <c r="G159" s="2" t="s">
        <v>227</v>
      </c>
      <c r="H159" s="2" t="s">
        <v>858</v>
      </c>
      <c r="I159" s="2" t="s">
        <v>859</v>
      </c>
      <c r="J159" s="2" t="s">
        <v>818</v>
      </c>
      <c r="K159" s="2" t="s">
        <v>700</v>
      </c>
      <c r="L159" s="2" t="s">
        <v>0</v>
      </c>
      <c r="M159" s="2" t="s">
        <v>701</v>
      </c>
      <c r="N159" s="2" t="s">
        <v>12</v>
      </c>
      <c r="O159" s="2" t="s">
        <v>0</v>
      </c>
      <c r="P159" s="2" t="s">
        <v>14</v>
      </c>
      <c r="Q159" s="2" t="s">
        <v>15</v>
      </c>
      <c r="R159" s="2" t="s">
        <v>16</v>
      </c>
      <c r="S159" s="2" t="s">
        <v>205</v>
      </c>
      <c r="T159" s="2" t="s">
        <v>35</v>
      </c>
      <c r="U159" s="2" t="s">
        <v>0</v>
      </c>
    </row>
    <row r="160" spans="1:21">
      <c r="A160" s="2" t="s">
        <v>874</v>
      </c>
      <c r="B160" s="2" t="s">
        <v>27</v>
      </c>
      <c r="C160" s="2" t="s">
        <v>875</v>
      </c>
      <c r="D160" s="2" t="s">
        <v>876</v>
      </c>
      <c r="E160" s="2" t="s">
        <v>877</v>
      </c>
      <c r="F160" s="2" t="s">
        <v>226</v>
      </c>
      <c r="G160" s="2" t="s">
        <v>227</v>
      </c>
      <c r="H160" s="2" t="s">
        <v>858</v>
      </c>
      <c r="I160" s="2" t="s">
        <v>859</v>
      </c>
      <c r="J160" s="2" t="s">
        <v>818</v>
      </c>
      <c r="K160" s="2" t="s">
        <v>700</v>
      </c>
      <c r="L160" s="2" t="s">
        <v>0</v>
      </c>
      <c r="M160" s="2" t="s">
        <v>701</v>
      </c>
      <c r="N160" s="2" t="s">
        <v>12</v>
      </c>
      <c r="O160" s="2" t="s">
        <v>0</v>
      </c>
      <c r="P160" s="2" t="s">
        <v>14</v>
      </c>
      <c r="Q160" s="2" t="s">
        <v>878</v>
      </c>
      <c r="R160" s="2" t="s">
        <v>16</v>
      </c>
      <c r="S160" s="2" t="s">
        <v>17</v>
      </c>
      <c r="T160" s="2" t="s">
        <v>35</v>
      </c>
      <c r="U160" s="2" t="s">
        <v>0</v>
      </c>
    </row>
    <row r="161" spans="1:21">
      <c r="A161" s="2" t="s">
        <v>879</v>
      </c>
      <c r="B161" s="2" t="s">
        <v>27</v>
      </c>
      <c r="C161" s="2" t="s">
        <v>880</v>
      </c>
      <c r="D161" s="2" t="s">
        <v>881</v>
      </c>
      <c r="E161" s="2" t="s">
        <v>882</v>
      </c>
      <c r="F161" s="2" t="s">
        <v>832</v>
      </c>
      <c r="G161" s="2" t="s">
        <v>833</v>
      </c>
      <c r="H161" s="2" t="s">
        <v>883</v>
      </c>
      <c r="I161" s="2" t="s">
        <v>884</v>
      </c>
      <c r="J161" s="2" t="s">
        <v>818</v>
      </c>
      <c r="K161" s="2" t="s">
        <v>700</v>
      </c>
      <c r="L161" s="2" t="s">
        <v>0</v>
      </c>
      <c r="M161" s="2" t="s">
        <v>701</v>
      </c>
      <c r="N161" s="2" t="s">
        <v>12</v>
      </c>
      <c r="O161" s="2" t="s">
        <v>0</v>
      </c>
      <c r="P161" s="2" t="s">
        <v>14</v>
      </c>
      <c r="Q161" s="2" t="s">
        <v>819</v>
      </c>
      <c r="R161" s="2" t="s">
        <v>820</v>
      </c>
      <c r="S161" s="2" t="s">
        <v>17</v>
      </c>
      <c r="T161" s="2" t="s">
        <v>35</v>
      </c>
      <c r="U161" s="2" t="s">
        <v>885</v>
      </c>
    </row>
    <row r="162" spans="1:21">
      <c r="A162" s="2" t="s">
        <v>886</v>
      </c>
      <c r="B162" s="2" t="s">
        <v>27</v>
      </c>
      <c r="C162" s="2" t="s">
        <v>887</v>
      </c>
      <c r="D162" s="2" t="s">
        <v>888</v>
      </c>
      <c r="E162" s="2" t="s">
        <v>889</v>
      </c>
      <c r="F162" s="2" t="s">
        <v>226</v>
      </c>
      <c r="G162" s="2" t="s">
        <v>227</v>
      </c>
      <c r="H162" s="2" t="s">
        <v>883</v>
      </c>
      <c r="I162" s="2" t="s">
        <v>884</v>
      </c>
      <c r="J162" s="2" t="s">
        <v>818</v>
      </c>
      <c r="K162" s="2" t="s">
        <v>700</v>
      </c>
      <c r="L162" s="2" t="s">
        <v>0</v>
      </c>
      <c r="M162" s="2" t="s">
        <v>701</v>
      </c>
      <c r="N162" s="2" t="s">
        <v>12</v>
      </c>
      <c r="O162" s="2" t="s">
        <v>0</v>
      </c>
      <c r="P162" s="2" t="s">
        <v>14</v>
      </c>
      <c r="Q162" s="2" t="s">
        <v>819</v>
      </c>
      <c r="R162" s="2" t="s">
        <v>820</v>
      </c>
      <c r="S162" s="2" t="s">
        <v>17</v>
      </c>
      <c r="T162" s="2" t="s">
        <v>35</v>
      </c>
      <c r="U162" s="2" t="s">
        <v>0</v>
      </c>
    </row>
    <row r="163" spans="1:21">
      <c r="A163" s="2" t="s">
        <v>890</v>
      </c>
      <c r="B163" s="2" t="s">
        <v>27</v>
      </c>
      <c r="C163" s="2" t="s">
        <v>891</v>
      </c>
      <c r="D163" s="2" t="s">
        <v>892</v>
      </c>
      <c r="E163" s="2" t="s">
        <v>893</v>
      </c>
      <c r="F163" s="2" t="s">
        <v>226</v>
      </c>
      <c r="G163" s="2" t="s">
        <v>227</v>
      </c>
      <c r="H163" s="2" t="s">
        <v>883</v>
      </c>
      <c r="I163" s="2" t="s">
        <v>884</v>
      </c>
      <c r="J163" s="2" t="s">
        <v>818</v>
      </c>
      <c r="K163" s="2" t="s">
        <v>700</v>
      </c>
      <c r="L163" s="2" t="s">
        <v>0</v>
      </c>
      <c r="M163" s="2" t="s">
        <v>701</v>
      </c>
      <c r="N163" s="2" t="s">
        <v>12</v>
      </c>
      <c r="O163" s="2" t="s">
        <v>0</v>
      </c>
      <c r="P163" s="2" t="s">
        <v>14</v>
      </c>
      <c r="Q163" s="2" t="s">
        <v>819</v>
      </c>
      <c r="R163" s="2" t="s">
        <v>820</v>
      </c>
      <c r="S163" s="2" t="s">
        <v>17</v>
      </c>
      <c r="T163" s="2" t="s">
        <v>35</v>
      </c>
      <c r="U163" s="2" t="s">
        <v>0</v>
      </c>
    </row>
    <row r="164" spans="1:21">
      <c r="A164" s="2" t="s">
        <v>894</v>
      </c>
      <c r="B164" s="2" t="s">
        <v>27</v>
      </c>
      <c r="C164" s="2" t="s">
        <v>895</v>
      </c>
      <c r="D164" s="2" t="s">
        <v>896</v>
      </c>
      <c r="E164" s="2" t="s">
        <v>897</v>
      </c>
      <c r="F164" s="2" t="s">
        <v>844</v>
      </c>
      <c r="G164" s="2" t="s">
        <v>845</v>
      </c>
      <c r="H164" s="2" t="s">
        <v>883</v>
      </c>
      <c r="I164" s="2" t="s">
        <v>884</v>
      </c>
      <c r="J164" s="2" t="s">
        <v>818</v>
      </c>
      <c r="K164" s="2" t="s">
        <v>700</v>
      </c>
      <c r="L164" s="2" t="s">
        <v>0</v>
      </c>
      <c r="M164" s="2" t="s">
        <v>701</v>
      </c>
      <c r="N164" s="2" t="s">
        <v>12</v>
      </c>
      <c r="O164" s="2" t="s">
        <v>0</v>
      </c>
      <c r="P164" s="2" t="s">
        <v>14</v>
      </c>
      <c r="Q164" s="2" t="s">
        <v>819</v>
      </c>
      <c r="R164" s="2" t="s">
        <v>820</v>
      </c>
      <c r="S164" s="2" t="s">
        <v>17</v>
      </c>
      <c r="T164" s="2" t="s">
        <v>35</v>
      </c>
      <c r="U164" s="2" t="s">
        <v>0</v>
      </c>
    </row>
    <row r="165" spans="1:21">
      <c r="A165" s="2" t="s">
        <v>898</v>
      </c>
      <c r="B165" s="2" t="s">
        <v>27</v>
      </c>
      <c r="C165" s="2" t="s">
        <v>899</v>
      </c>
      <c r="D165" s="2" t="s">
        <v>900</v>
      </c>
      <c r="E165" s="2" t="s">
        <v>901</v>
      </c>
      <c r="F165" s="2" t="s">
        <v>226</v>
      </c>
      <c r="G165" s="2" t="s">
        <v>227</v>
      </c>
      <c r="H165" s="2" t="s">
        <v>883</v>
      </c>
      <c r="I165" s="2" t="s">
        <v>884</v>
      </c>
      <c r="J165" s="2" t="s">
        <v>818</v>
      </c>
      <c r="K165" s="2" t="s">
        <v>700</v>
      </c>
      <c r="L165" s="2" t="s">
        <v>0</v>
      </c>
      <c r="M165" s="2" t="s">
        <v>701</v>
      </c>
      <c r="N165" s="2" t="s">
        <v>12</v>
      </c>
      <c r="O165" s="2" t="s">
        <v>0</v>
      </c>
      <c r="P165" s="2" t="s">
        <v>14</v>
      </c>
      <c r="Q165" s="2" t="s">
        <v>819</v>
      </c>
      <c r="R165" s="2" t="s">
        <v>820</v>
      </c>
      <c r="S165" s="2" t="s">
        <v>17</v>
      </c>
      <c r="T165" s="2" t="s">
        <v>35</v>
      </c>
      <c r="U165" s="2" t="s">
        <v>0</v>
      </c>
    </row>
    <row r="166" spans="1:21">
      <c r="A166" s="2" t="s">
        <v>902</v>
      </c>
      <c r="B166" s="2" t="s">
        <v>27</v>
      </c>
      <c r="C166" s="2" t="s">
        <v>903</v>
      </c>
      <c r="D166" s="2" t="s">
        <v>904</v>
      </c>
      <c r="E166" s="2" t="s">
        <v>905</v>
      </c>
      <c r="F166" s="2" t="s">
        <v>906</v>
      </c>
      <c r="G166" s="2" t="s">
        <v>907</v>
      </c>
      <c r="H166" s="2" t="s">
        <v>908</v>
      </c>
      <c r="I166" s="2" t="s">
        <v>0</v>
      </c>
      <c r="J166" s="2" t="s">
        <v>836</v>
      </c>
      <c r="K166" s="2" t="s">
        <v>0</v>
      </c>
      <c r="L166" s="2" t="s">
        <v>837</v>
      </c>
      <c r="M166" s="2" t="s">
        <v>701</v>
      </c>
      <c r="N166" s="2" t="s">
        <v>12</v>
      </c>
      <c r="O166" s="2" t="s">
        <v>13</v>
      </c>
      <c r="P166" s="2" t="s">
        <v>14</v>
      </c>
      <c r="Q166" s="2" t="s">
        <v>156</v>
      </c>
      <c r="R166" s="2" t="s">
        <v>838</v>
      </c>
      <c r="S166" s="2" t="s">
        <v>17</v>
      </c>
      <c r="T166" s="2" t="s">
        <v>35</v>
      </c>
      <c r="U166" s="2" t="s">
        <v>909</v>
      </c>
    </row>
    <row r="167" spans="1:21">
      <c r="A167" s="2" t="s">
        <v>910</v>
      </c>
      <c r="B167" s="2" t="s">
        <v>27</v>
      </c>
      <c r="C167" s="2" t="s">
        <v>911</v>
      </c>
      <c r="D167" s="2" t="s">
        <v>912</v>
      </c>
      <c r="E167" s="2" t="s">
        <v>913</v>
      </c>
      <c r="F167" s="2" t="s">
        <v>226</v>
      </c>
      <c r="G167" s="2" t="s">
        <v>227</v>
      </c>
      <c r="H167" s="2" t="s">
        <v>914</v>
      </c>
      <c r="I167" s="2" t="s">
        <v>915</v>
      </c>
      <c r="J167" s="2" t="s">
        <v>836</v>
      </c>
      <c r="K167" s="2" t="s">
        <v>0</v>
      </c>
      <c r="L167" s="2" t="s">
        <v>837</v>
      </c>
      <c r="M167" s="2" t="s">
        <v>701</v>
      </c>
      <c r="N167" s="2" t="s">
        <v>12</v>
      </c>
      <c r="O167" s="2" t="s">
        <v>0</v>
      </c>
      <c r="P167" s="2" t="s">
        <v>14</v>
      </c>
      <c r="Q167" s="2" t="s">
        <v>156</v>
      </c>
      <c r="R167" s="2" t="s">
        <v>838</v>
      </c>
      <c r="S167" s="2" t="s">
        <v>17</v>
      </c>
      <c r="T167" s="2" t="s">
        <v>35</v>
      </c>
      <c r="U167" s="2" t="s">
        <v>0</v>
      </c>
    </row>
    <row r="168" spans="1:21">
      <c r="A168" s="2" t="s">
        <v>916</v>
      </c>
      <c r="B168" s="2" t="s">
        <v>27</v>
      </c>
      <c r="C168" s="2" t="s">
        <v>917</v>
      </c>
      <c r="D168" s="2" t="s">
        <v>918</v>
      </c>
      <c r="E168" s="2" t="s">
        <v>919</v>
      </c>
      <c r="F168" s="2" t="s">
        <v>920</v>
      </c>
      <c r="G168" s="2" t="s">
        <v>921</v>
      </c>
      <c r="H168" s="2" t="s">
        <v>914</v>
      </c>
      <c r="I168" s="2" t="s">
        <v>915</v>
      </c>
      <c r="J168" s="2" t="s">
        <v>836</v>
      </c>
      <c r="K168" s="2" t="s">
        <v>0</v>
      </c>
      <c r="L168" s="2" t="s">
        <v>837</v>
      </c>
      <c r="M168" s="2" t="s">
        <v>701</v>
      </c>
      <c r="N168" s="2" t="s">
        <v>12</v>
      </c>
      <c r="O168" s="2" t="s">
        <v>0</v>
      </c>
      <c r="P168" s="2" t="s">
        <v>14</v>
      </c>
      <c r="Q168" s="2" t="s">
        <v>156</v>
      </c>
      <c r="R168" s="2" t="s">
        <v>838</v>
      </c>
      <c r="S168" s="2" t="s">
        <v>17</v>
      </c>
      <c r="T168" s="2" t="s">
        <v>35</v>
      </c>
      <c r="U168" s="2" t="s">
        <v>922</v>
      </c>
    </row>
    <row r="169" spans="1:21">
      <c r="A169" s="2" t="s">
        <v>923</v>
      </c>
      <c r="B169" s="2" t="s">
        <v>27</v>
      </c>
      <c r="C169" s="2" t="s">
        <v>924</v>
      </c>
      <c r="D169" s="2" t="s">
        <v>925</v>
      </c>
      <c r="E169" s="2" t="s">
        <v>926</v>
      </c>
      <c r="F169" s="2" t="s">
        <v>927</v>
      </c>
      <c r="G169" s="2" t="s">
        <v>928</v>
      </c>
      <c r="H169" s="2" t="s">
        <v>914</v>
      </c>
      <c r="I169" s="2" t="s">
        <v>915</v>
      </c>
      <c r="J169" s="2" t="s">
        <v>836</v>
      </c>
      <c r="K169" s="2" t="s">
        <v>0</v>
      </c>
      <c r="L169" s="2" t="s">
        <v>837</v>
      </c>
      <c r="M169" s="2" t="s">
        <v>701</v>
      </c>
      <c r="N169" s="2" t="s">
        <v>12</v>
      </c>
      <c r="O169" s="2" t="s">
        <v>0</v>
      </c>
      <c r="P169" s="2" t="s">
        <v>14</v>
      </c>
      <c r="Q169" s="2" t="s">
        <v>156</v>
      </c>
      <c r="R169" s="2" t="s">
        <v>838</v>
      </c>
      <c r="S169" s="2" t="s">
        <v>17</v>
      </c>
      <c r="T169" s="2" t="s">
        <v>35</v>
      </c>
      <c r="U169" s="2" t="s">
        <v>0</v>
      </c>
    </row>
    <row r="170" spans="1:21">
      <c r="A170" s="2" t="s">
        <v>929</v>
      </c>
      <c r="B170" s="2" t="s">
        <v>27</v>
      </c>
      <c r="C170" s="2" t="s">
        <v>930</v>
      </c>
      <c r="D170" s="2" t="s">
        <v>931</v>
      </c>
      <c r="E170" s="2" t="s">
        <v>932</v>
      </c>
      <c r="F170" s="2" t="s">
        <v>226</v>
      </c>
      <c r="G170" s="2" t="s">
        <v>227</v>
      </c>
      <c r="H170" s="2" t="s">
        <v>914</v>
      </c>
      <c r="I170" s="2" t="s">
        <v>915</v>
      </c>
      <c r="J170" s="2" t="s">
        <v>836</v>
      </c>
      <c r="K170" s="2" t="s">
        <v>0</v>
      </c>
      <c r="L170" s="2" t="s">
        <v>837</v>
      </c>
      <c r="M170" s="2" t="s">
        <v>701</v>
      </c>
      <c r="N170" s="2" t="s">
        <v>12</v>
      </c>
      <c r="O170" s="2" t="s">
        <v>0</v>
      </c>
      <c r="P170" s="2" t="s">
        <v>149</v>
      </c>
      <c r="Q170" s="2" t="s">
        <v>156</v>
      </c>
      <c r="R170" s="2" t="s">
        <v>151</v>
      </c>
      <c r="S170" s="2" t="s">
        <v>17</v>
      </c>
      <c r="T170" s="2" t="s">
        <v>35</v>
      </c>
      <c r="U170" s="2" t="s">
        <v>0</v>
      </c>
    </row>
    <row r="171" spans="1:21">
      <c r="A171" s="2" t="s">
        <v>933</v>
      </c>
      <c r="B171" s="2" t="s">
        <v>27</v>
      </c>
      <c r="C171" s="2" t="s">
        <v>189</v>
      </c>
      <c r="D171" s="2" t="s">
        <v>934</v>
      </c>
      <c r="E171" s="2" t="s">
        <v>935</v>
      </c>
      <c r="F171" s="2" t="s">
        <v>226</v>
      </c>
      <c r="G171" s="2" t="s">
        <v>227</v>
      </c>
      <c r="H171" s="2" t="s">
        <v>936</v>
      </c>
      <c r="I171" s="2" t="s">
        <v>937</v>
      </c>
      <c r="J171" s="2" t="s">
        <v>699</v>
      </c>
      <c r="K171" s="2" t="s">
        <v>700</v>
      </c>
      <c r="L171" s="2" t="s">
        <v>0</v>
      </c>
      <c r="M171" s="2" t="s">
        <v>701</v>
      </c>
      <c r="N171" s="2" t="s">
        <v>12</v>
      </c>
      <c r="O171" s="2" t="s">
        <v>0</v>
      </c>
      <c r="P171" s="2" t="s">
        <v>14</v>
      </c>
      <c r="Q171" s="2" t="s">
        <v>52</v>
      </c>
      <c r="R171" s="2" t="s">
        <v>702</v>
      </c>
      <c r="S171" s="2" t="s">
        <v>17</v>
      </c>
      <c r="T171" s="2" t="s">
        <v>35</v>
      </c>
      <c r="U171" s="2" t="s">
        <v>0</v>
      </c>
    </row>
    <row r="172" spans="1:21">
      <c r="A172" s="2" t="s">
        <v>938</v>
      </c>
      <c r="B172" s="2" t="s">
        <v>27</v>
      </c>
      <c r="C172" s="2" t="s">
        <v>939</v>
      </c>
      <c r="D172" s="2" t="s">
        <v>940</v>
      </c>
      <c r="E172" s="2" t="s">
        <v>941</v>
      </c>
      <c r="F172" s="2" t="s">
        <v>832</v>
      </c>
      <c r="G172" s="2" t="s">
        <v>833</v>
      </c>
      <c r="H172" s="2" t="s">
        <v>936</v>
      </c>
      <c r="I172" s="2" t="s">
        <v>937</v>
      </c>
      <c r="J172" s="2" t="s">
        <v>699</v>
      </c>
      <c r="K172" s="2" t="s">
        <v>700</v>
      </c>
      <c r="L172" s="2" t="s">
        <v>0</v>
      </c>
      <c r="M172" s="2" t="s">
        <v>701</v>
      </c>
      <c r="N172" s="2" t="s">
        <v>12</v>
      </c>
      <c r="O172" s="2" t="s">
        <v>0</v>
      </c>
      <c r="P172" s="2" t="s">
        <v>14</v>
      </c>
      <c r="Q172" s="2" t="s">
        <v>52</v>
      </c>
      <c r="R172" s="2" t="s">
        <v>702</v>
      </c>
      <c r="S172" s="2" t="s">
        <v>17</v>
      </c>
      <c r="T172" s="2" t="s">
        <v>35</v>
      </c>
      <c r="U172" s="2" t="s">
        <v>942</v>
      </c>
    </row>
    <row r="173" spans="1:21">
      <c r="A173" s="2" t="s">
        <v>943</v>
      </c>
      <c r="B173" s="2" t="s">
        <v>27</v>
      </c>
      <c r="C173" s="2" t="s">
        <v>641</v>
      </c>
      <c r="D173" s="2" t="s">
        <v>944</v>
      </c>
      <c r="E173" s="2" t="s">
        <v>945</v>
      </c>
      <c r="F173" s="2" t="s">
        <v>226</v>
      </c>
      <c r="G173" s="2" t="s">
        <v>227</v>
      </c>
      <c r="H173" s="2" t="s">
        <v>936</v>
      </c>
      <c r="I173" s="2" t="s">
        <v>937</v>
      </c>
      <c r="J173" s="2" t="s">
        <v>699</v>
      </c>
      <c r="K173" s="2" t="s">
        <v>700</v>
      </c>
      <c r="L173" s="2" t="s">
        <v>0</v>
      </c>
      <c r="M173" s="2" t="s">
        <v>701</v>
      </c>
      <c r="N173" s="2" t="s">
        <v>12</v>
      </c>
      <c r="O173" s="2" t="s">
        <v>0</v>
      </c>
      <c r="P173" s="2" t="s">
        <v>14</v>
      </c>
      <c r="Q173" s="2" t="s">
        <v>52</v>
      </c>
      <c r="R173" s="2" t="s">
        <v>702</v>
      </c>
      <c r="S173" s="2" t="s">
        <v>17</v>
      </c>
      <c r="T173" s="2" t="s">
        <v>35</v>
      </c>
      <c r="U173" s="2" t="s">
        <v>0</v>
      </c>
    </row>
    <row r="174" spans="1:21">
      <c r="A174" s="2" t="s">
        <v>946</v>
      </c>
      <c r="B174" s="2" t="s">
        <v>27</v>
      </c>
      <c r="C174" s="2" t="s">
        <v>327</v>
      </c>
      <c r="D174" s="2" t="s">
        <v>947</v>
      </c>
      <c r="E174" s="2" t="s">
        <v>948</v>
      </c>
      <c r="F174" s="2" t="s">
        <v>226</v>
      </c>
      <c r="G174" s="2" t="s">
        <v>227</v>
      </c>
      <c r="H174" s="2" t="s">
        <v>936</v>
      </c>
      <c r="I174" s="2" t="s">
        <v>937</v>
      </c>
      <c r="J174" s="2" t="s">
        <v>699</v>
      </c>
      <c r="K174" s="2" t="s">
        <v>700</v>
      </c>
      <c r="L174" s="2" t="s">
        <v>0</v>
      </c>
      <c r="M174" s="2" t="s">
        <v>701</v>
      </c>
      <c r="N174" s="2" t="s">
        <v>12</v>
      </c>
      <c r="O174" s="2" t="s">
        <v>0</v>
      </c>
      <c r="P174" s="2" t="s">
        <v>14</v>
      </c>
      <c r="Q174" s="2" t="s">
        <v>52</v>
      </c>
      <c r="R174" s="2" t="s">
        <v>702</v>
      </c>
      <c r="S174" s="2" t="s">
        <v>17</v>
      </c>
      <c r="T174" s="2" t="s">
        <v>35</v>
      </c>
      <c r="U174" s="2" t="s">
        <v>0</v>
      </c>
    </row>
    <row r="175" spans="1:21">
      <c r="A175" s="2" t="s">
        <v>949</v>
      </c>
      <c r="B175" s="2" t="s">
        <v>27</v>
      </c>
      <c r="C175" s="2" t="s">
        <v>950</v>
      </c>
      <c r="D175" s="2" t="s">
        <v>951</v>
      </c>
      <c r="E175" s="2" t="s">
        <v>952</v>
      </c>
      <c r="F175" s="2" t="s">
        <v>226</v>
      </c>
      <c r="G175" s="2" t="s">
        <v>227</v>
      </c>
      <c r="H175" s="2" t="s">
        <v>936</v>
      </c>
      <c r="I175" s="2" t="s">
        <v>937</v>
      </c>
      <c r="J175" s="2" t="s">
        <v>699</v>
      </c>
      <c r="K175" s="2" t="s">
        <v>700</v>
      </c>
      <c r="L175" s="2" t="s">
        <v>0</v>
      </c>
      <c r="M175" s="2" t="s">
        <v>701</v>
      </c>
      <c r="N175" s="2" t="s">
        <v>12</v>
      </c>
      <c r="O175" s="2" t="s">
        <v>0</v>
      </c>
      <c r="P175" s="2" t="s">
        <v>14</v>
      </c>
      <c r="Q175" s="2" t="s">
        <v>52</v>
      </c>
      <c r="R175" s="2" t="s">
        <v>702</v>
      </c>
      <c r="S175" s="2" t="s">
        <v>17</v>
      </c>
      <c r="T175" s="2" t="s">
        <v>35</v>
      </c>
      <c r="U175" s="2" t="s">
        <v>0</v>
      </c>
    </row>
    <row r="176" spans="1:21">
      <c r="A176" s="2" t="s">
        <v>953</v>
      </c>
      <c r="B176" s="2" t="s">
        <v>27</v>
      </c>
      <c r="C176" s="2" t="s">
        <v>659</v>
      </c>
      <c r="D176" s="2" t="s">
        <v>954</v>
      </c>
      <c r="E176" s="2" t="s">
        <v>955</v>
      </c>
      <c r="F176" s="2" t="s">
        <v>226</v>
      </c>
      <c r="G176" s="2" t="s">
        <v>227</v>
      </c>
      <c r="H176" s="2" t="s">
        <v>936</v>
      </c>
      <c r="I176" s="2" t="s">
        <v>937</v>
      </c>
      <c r="J176" s="2" t="s">
        <v>699</v>
      </c>
      <c r="K176" s="2" t="s">
        <v>700</v>
      </c>
      <c r="L176" s="2" t="s">
        <v>0</v>
      </c>
      <c r="M176" s="2" t="s">
        <v>701</v>
      </c>
      <c r="N176" s="2" t="s">
        <v>12</v>
      </c>
      <c r="O176" s="2" t="s">
        <v>0</v>
      </c>
      <c r="P176" s="2" t="s">
        <v>14</v>
      </c>
      <c r="Q176" s="2" t="s">
        <v>52</v>
      </c>
      <c r="R176" s="2" t="s">
        <v>702</v>
      </c>
      <c r="S176" s="2" t="s">
        <v>17</v>
      </c>
      <c r="T176" s="2" t="s">
        <v>35</v>
      </c>
      <c r="U176" s="2" t="s">
        <v>0</v>
      </c>
    </row>
    <row r="177" spans="1:21">
      <c r="A177" s="2" t="s">
        <v>956</v>
      </c>
      <c r="B177" s="2" t="s">
        <v>27</v>
      </c>
      <c r="C177" s="2" t="s">
        <v>957</v>
      </c>
      <c r="D177" s="2" t="s">
        <v>958</v>
      </c>
      <c r="E177" s="2" t="s">
        <v>959</v>
      </c>
      <c r="F177" s="2" t="s">
        <v>226</v>
      </c>
      <c r="G177" s="2" t="s">
        <v>227</v>
      </c>
      <c r="H177" s="2" t="s">
        <v>960</v>
      </c>
      <c r="I177" s="2" t="s">
        <v>961</v>
      </c>
      <c r="J177" s="2" t="s">
        <v>699</v>
      </c>
      <c r="K177" s="2" t="s">
        <v>700</v>
      </c>
      <c r="L177" s="2" t="s">
        <v>0</v>
      </c>
      <c r="M177" s="2" t="s">
        <v>701</v>
      </c>
      <c r="N177" s="2" t="s">
        <v>12</v>
      </c>
      <c r="O177" s="2" t="s">
        <v>0</v>
      </c>
      <c r="P177" s="2" t="s">
        <v>14</v>
      </c>
      <c r="Q177" s="2" t="s">
        <v>819</v>
      </c>
      <c r="R177" s="2" t="s">
        <v>747</v>
      </c>
      <c r="S177" s="2" t="s">
        <v>17</v>
      </c>
      <c r="T177" s="2" t="s">
        <v>35</v>
      </c>
      <c r="U177" s="2" t="s">
        <v>0</v>
      </c>
    </row>
    <row r="178" spans="1:21">
      <c r="A178" s="2" t="s">
        <v>962</v>
      </c>
      <c r="B178" s="2" t="s">
        <v>27</v>
      </c>
      <c r="C178" s="2" t="s">
        <v>963</v>
      </c>
      <c r="D178" s="2" t="s">
        <v>964</v>
      </c>
      <c r="E178" s="2" t="s">
        <v>965</v>
      </c>
      <c r="F178" s="2" t="s">
        <v>226</v>
      </c>
      <c r="G178" s="2" t="s">
        <v>227</v>
      </c>
      <c r="H178" s="2" t="s">
        <v>960</v>
      </c>
      <c r="I178" s="2" t="s">
        <v>961</v>
      </c>
      <c r="J178" s="2" t="s">
        <v>699</v>
      </c>
      <c r="K178" s="2" t="s">
        <v>700</v>
      </c>
      <c r="L178" s="2" t="s">
        <v>0</v>
      </c>
      <c r="M178" s="2" t="s">
        <v>701</v>
      </c>
      <c r="N178" s="2" t="s">
        <v>12</v>
      </c>
      <c r="O178" s="2" t="s">
        <v>0</v>
      </c>
      <c r="P178" s="2" t="s">
        <v>14</v>
      </c>
      <c r="Q178" s="2" t="s">
        <v>52</v>
      </c>
      <c r="R178" s="2" t="s">
        <v>747</v>
      </c>
      <c r="S178" s="2" t="s">
        <v>17</v>
      </c>
      <c r="T178" s="2" t="s">
        <v>35</v>
      </c>
      <c r="U178" s="2" t="s">
        <v>0</v>
      </c>
    </row>
    <row r="179" spans="1:21">
      <c r="A179" s="2" t="s">
        <v>966</v>
      </c>
      <c r="B179" s="2" t="s">
        <v>27</v>
      </c>
      <c r="C179" s="2" t="s">
        <v>967</v>
      </c>
      <c r="D179" s="2" t="s">
        <v>968</v>
      </c>
      <c r="E179" s="2" t="s">
        <v>969</v>
      </c>
      <c r="F179" s="2" t="s">
        <v>226</v>
      </c>
      <c r="G179" s="2" t="s">
        <v>227</v>
      </c>
      <c r="H179" s="2" t="s">
        <v>960</v>
      </c>
      <c r="I179" s="2" t="s">
        <v>961</v>
      </c>
      <c r="J179" s="2" t="s">
        <v>699</v>
      </c>
      <c r="K179" s="2" t="s">
        <v>700</v>
      </c>
      <c r="L179" s="2" t="s">
        <v>0</v>
      </c>
      <c r="M179" s="2" t="s">
        <v>701</v>
      </c>
      <c r="N179" s="2" t="s">
        <v>12</v>
      </c>
      <c r="O179" s="2" t="s">
        <v>0</v>
      </c>
      <c r="P179" s="2" t="s">
        <v>14</v>
      </c>
      <c r="Q179" s="2" t="s">
        <v>52</v>
      </c>
      <c r="R179" s="2" t="s">
        <v>747</v>
      </c>
      <c r="S179" s="2" t="s">
        <v>17</v>
      </c>
      <c r="T179" s="2" t="s">
        <v>35</v>
      </c>
      <c r="U179" s="2" t="s">
        <v>0</v>
      </c>
    </row>
    <row r="180" spans="1:21">
      <c r="A180" s="2" t="s">
        <v>970</v>
      </c>
      <c r="B180" s="2" t="s">
        <v>27</v>
      </c>
      <c r="C180" s="2" t="s">
        <v>971</v>
      </c>
      <c r="D180" s="2" t="s">
        <v>972</v>
      </c>
      <c r="E180" s="2" t="s">
        <v>973</v>
      </c>
      <c r="F180" s="2" t="s">
        <v>832</v>
      </c>
      <c r="G180" s="2" t="s">
        <v>833</v>
      </c>
      <c r="H180" s="2" t="s">
        <v>960</v>
      </c>
      <c r="I180" s="2" t="s">
        <v>961</v>
      </c>
      <c r="J180" s="2" t="s">
        <v>699</v>
      </c>
      <c r="K180" s="2" t="s">
        <v>700</v>
      </c>
      <c r="L180" s="2" t="s">
        <v>0</v>
      </c>
      <c r="M180" s="2" t="s">
        <v>701</v>
      </c>
      <c r="N180" s="2" t="s">
        <v>12</v>
      </c>
      <c r="O180" s="2" t="s">
        <v>0</v>
      </c>
      <c r="P180" s="2" t="s">
        <v>14</v>
      </c>
      <c r="Q180" s="2" t="s">
        <v>52</v>
      </c>
      <c r="R180" s="2" t="s">
        <v>747</v>
      </c>
      <c r="S180" s="2" t="s">
        <v>17</v>
      </c>
      <c r="T180" s="2" t="s">
        <v>35</v>
      </c>
      <c r="U180" s="2" t="s">
        <v>974</v>
      </c>
    </row>
    <row r="181" spans="1:21">
      <c r="A181" s="2" t="s">
        <v>975</v>
      </c>
      <c r="B181" s="2" t="s">
        <v>27</v>
      </c>
      <c r="C181" s="2" t="s">
        <v>976</v>
      </c>
      <c r="D181" s="2" t="s">
        <v>977</v>
      </c>
      <c r="E181" s="2" t="s">
        <v>978</v>
      </c>
      <c r="F181" s="2" t="s">
        <v>844</v>
      </c>
      <c r="G181" s="2" t="s">
        <v>845</v>
      </c>
      <c r="H181" s="2" t="s">
        <v>960</v>
      </c>
      <c r="I181" s="2" t="s">
        <v>961</v>
      </c>
      <c r="J181" s="2" t="s">
        <v>699</v>
      </c>
      <c r="K181" s="2" t="s">
        <v>700</v>
      </c>
      <c r="L181" s="2" t="s">
        <v>0</v>
      </c>
      <c r="M181" s="2" t="s">
        <v>701</v>
      </c>
      <c r="N181" s="2" t="s">
        <v>12</v>
      </c>
      <c r="O181" s="2" t="s">
        <v>0</v>
      </c>
      <c r="P181" s="2" t="s">
        <v>14</v>
      </c>
      <c r="Q181" s="2" t="s">
        <v>52</v>
      </c>
      <c r="R181" s="2" t="s">
        <v>747</v>
      </c>
      <c r="S181" s="2" t="s">
        <v>17</v>
      </c>
      <c r="T181" s="2" t="s">
        <v>35</v>
      </c>
      <c r="U181" s="2" t="s">
        <v>0</v>
      </c>
    </row>
    <row r="182" spans="1:21">
      <c r="A182" s="2" t="s">
        <v>979</v>
      </c>
      <c r="B182" s="2" t="s">
        <v>27</v>
      </c>
      <c r="C182" s="2" t="s">
        <v>980</v>
      </c>
      <c r="D182" s="2" t="s">
        <v>981</v>
      </c>
      <c r="E182" s="2" t="s">
        <v>982</v>
      </c>
      <c r="F182" s="2" t="s">
        <v>983</v>
      </c>
      <c r="G182" s="2" t="s">
        <v>715</v>
      </c>
      <c r="H182" s="2" t="s">
        <v>984</v>
      </c>
      <c r="I182" s="2" t="s">
        <v>985</v>
      </c>
      <c r="J182" s="2" t="s">
        <v>836</v>
      </c>
      <c r="K182" s="2" t="s">
        <v>0</v>
      </c>
      <c r="L182" s="2" t="s">
        <v>837</v>
      </c>
      <c r="M182" s="2" t="s">
        <v>701</v>
      </c>
      <c r="N182" s="2" t="s">
        <v>12</v>
      </c>
      <c r="O182" s="2" t="s">
        <v>0</v>
      </c>
      <c r="P182" s="2" t="s">
        <v>14</v>
      </c>
      <c r="Q182" s="2" t="s">
        <v>156</v>
      </c>
      <c r="R182" s="2" t="s">
        <v>838</v>
      </c>
      <c r="S182" s="2" t="s">
        <v>17</v>
      </c>
      <c r="T182" s="2" t="s">
        <v>35</v>
      </c>
      <c r="U182" s="2" t="s">
        <v>986</v>
      </c>
    </row>
    <row r="183" spans="1:21">
      <c r="A183" s="2" t="s">
        <v>987</v>
      </c>
      <c r="B183" s="2" t="s">
        <v>27</v>
      </c>
      <c r="C183" s="2" t="s">
        <v>988</v>
      </c>
      <c r="D183" s="2" t="s">
        <v>989</v>
      </c>
      <c r="E183" s="2" t="s">
        <v>990</v>
      </c>
      <c r="F183" s="2" t="s">
        <v>695</v>
      </c>
      <c r="G183" s="2" t="s">
        <v>696</v>
      </c>
      <c r="H183" s="2" t="s">
        <v>984</v>
      </c>
      <c r="I183" s="2" t="s">
        <v>985</v>
      </c>
      <c r="J183" s="2" t="s">
        <v>836</v>
      </c>
      <c r="K183" s="2" t="s">
        <v>0</v>
      </c>
      <c r="L183" s="2" t="s">
        <v>837</v>
      </c>
      <c r="M183" s="2" t="s">
        <v>701</v>
      </c>
      <c r="N183" s="2" t="s">
        <v>12</v>
      </c>
      <c r="O183" s="2" t="s">
        <v>0</v>
      </c>
      <c r="P183" s="2" t="s">
        <v>149</v>
      </c>
      <c r="Q183" s="2" t="s">
        <v>156</v>
      </c>
      <c r="R183" s="2" t="s">
        <v>151</v>
      </c>
      <c r="S183" s="2" t="s">
        <v>17</v>
      </c>
      <c r="T183" s="2" t="s">
        <v>35</v>
      </c>
      <c r="U183" s="2" t="s">
        <v>0</v>
      </c>
    </row>
    <row r="184" spans="1:21">
      <c r="A184" s="2" t="s">
        <v>991</v>
      </c>
      <c r="B184" s="2" t="s">
        <v>27</v>
      </c>
      <c r="C184" s="2" t="s">
        <v>992</v>
      </c>
      <c r="D184" s="2" t="s">
        <v>993</v>
      </c>
      <c r="E184" s="2" t="s">
        <v>994</v>
      </c>
      <c r="F184" s="2" t="s">
        <v>695</v>
      </c>
      <c r="G184" s="2" t="s">
        <v>696</v>
      </c>
      <c r="H184" s="2" t="s">
        <v>984</v>
      </c>
      <c r="I184" s="2" t="s">
        <v>985</v>
      </c>
      <c r="J184" s="2" t="s">
        <v>836</v>
      </c>
      <c r="K184" s="2" t="s">
        <v>0</v>
      </c>
      <c r="L184" s="2" t="s">
        <v>837</v>
      </c>
      <c r="M184" s="2" t="s">
        <v>701</v>
      </c>
      <c r="N184" s="2" t="s">
        <v>12</v>
      </c>
      <c r="O184" s="2" t="s">
        <v>0</v>
      </c>
      <c r="P184" s="2" t="s">
        <v>14</v>
      </c>
      <c r="Q184" s="2" t="s">
        <v>156</v>
      </c>
      <c r="R184" s="2" t="s">
        <v>838</v>
      </c>
      <c r="S184" s="2" t="s">
        <v>17</v>
      </c>
      <c r="T184" s="2" t="s">
        <v>35</v>
      </c>
      <c r="U184" s="2" t="s">
        <v>0</v>
      </c>
    </row>
    <row r="185" spans="1:21">
      <c r="A185" s="2" t="s">
        <v>995</v>
      </c>
      <c r="B185" s="2" t="s">
        <v>27</v>
      </c>
      <c r="C185" s="2" t="s">
        <v>996</v>
      </c>
      <c r="D185" s="2" t="s">
        <v>997</v>
      </c>
      <c r="E185" s="2" t="s">
        <v>998</v>
      </c>
      <c r="F185" s="2" t="s">
        <v>695</v>
      </c>
      <c r="G185" s="2" t="s">
        <v>696</v>
      </c>
      <c r="H185" s="2" t="s">
        <v>984</v>
      </c>
      <c r="I185" s="2" t="s">
        <v>985</v>
      </c>
      <c r="J185" s="2" t="s">
        <v>836</v>
      </c>
      <c r="K185" s="2" t="s">
        <v>0</v>
      </c>
      <c r="L185" s="2" t="s">
        <v>837</v>
      </c>
      <c r="M185" s="2" t="s">
        <v>701</v>
      </c>
      <c r="N185" s="2" t="s">
        <v>12</v>
      </c>
      <c r="O185" s="2" t="s">
        <v>0</v>
      </c>
      <c r="P185" s="2" t="s">
        <v>14</v>
      </c>
      <c r="Q185" s="2" t="s">
        <v>156</v>
      </c>
      <c r="R185" s="2" t="s">
        <v>838</v>
      </c>
      <c r="S185" s="2" t="s">
        <v>17</v>
      </c>
      <c r="T185" s="2" t="s">
        <v>35</v>
      </c>
      <c r="U185" s="2" t="s">
        <v>0</v>
      </c>
    </row>
    <row r="186" spans="1:21">
      <c r="A186" s="2" t="s">
        <v>999</v>
      </c>
      <c r="B186" s="2" t="s">
        <v>27</v>
      </c>
      <c r="C186" s="2" t="s">
        <v>1000</v>
      </c>
      <c r="D186" s="2" t="s">
        <v>1001</v>
      </c>
      <c r="E186" s="2" t="s">
        <v>1002</v>
      </c>
      <c r="F186" s="2" t="s">
        <v>927</v>
      </c>
      <c r="G186" s="2" t="s">
        <v>928</v>
      </c>
      <c r="H186" s="2" t="s">
        <v>1003</v>
      </c>
      <c r="I186" s="2" t="s">
        <v>1004</v>
      </c>
      <c r="J186" s="2" t="s">
        <v>1005</v>
      </c>
      <c r="K186" s="2" t="s">
        <v>0</v>
      </c>
      <c r="L186" s="2" t="s">
        <v>837</v>
      </c>
      <c r="M186" s="2" t="s">
        <v>701</v>
      </c>
      <c r="N186" s="2" t="s">
        <v>12</v>
      </c>
      <c r="O186" s="2" t="s">
        <v>0</v>
      </c>
      <c r="P186" s="2" t="s">
        <v>149</v>
      </c>
      <c r="Q186" s="2" t="s">
        <v>150</v>
      </c>
      <c r="R186" s="2" t="s">
        <v>151</v>
      </c>
      <c r="S186" s="2" t="s">
        <v>17</v>
      </c>
      <c r="T186" s="2" t="s">
        <v>35</v>
      </c>
      <c r="U186" s="2" t="s">
        <v>0</v>
      </c>
    </row>
    <row r="187" spans="1:21">
      <c r="A187" s="2" t="s">
        <v>1006</v>
      </c>
      <c r="B187" s="2" t="s">
        <v>27</v>
      </c>
      <c r="C187" s="2" t="s">
        <v>1007</v>
      </c>
      <c r="D187" s="2" t="s">
        <v>1008</v>
      </c>
      <c r="E187" s="2" t="s">
        <v>1009</v>
      </c>
      <c r="F187" s="2" t="s">
        <v>920</v>
      </c>
      <c r="G187" s="2" t="s">
        <v>921</v>
      </c>
      <c r="H187" s="2" t="s">
        <v>1003</v>
      </c>
      <c r="I187" s="2" t="s">
        <v>1004</v>
      </c>
      <c r="J187" s="2" t="s">
        <v>1005</v>
      </c>
      <c r="K187" s="2" t="s">
        <v>0</v>
      </c>
      <c r="L187" s="2" t="s">
        <v>837</v>
      </c>
      <c r="M187" s="2" t="s">
        <v>701</v>
      </c>
      <c r="N187" s="2" t="s">
        <v>12</v>
      </c>
      <c r="O187" s="2" t="s">
        <v>0</v>
      </c>
      <c r="P187" s="2" t="s">
        <v>149</v>
      </c>
      <c r="Q187" s="2" t="s">
        <v>150</v>
      </c>
      <c r="R187" s="2" t="s">
        <v>151</v>
      </c>
      <c r="S187" s="2" t="s">
        <v>17</v>
      </c>
      <c r="T187" s="2" t="s">
        <v>35</v>
      </c>
      <c r="U187" s="2" t="s">
        <v>1010</v>
      </c>
    </row>
    <row r="188" spans="1:21">
      <c r="A188" s="2" t="s">
        <v>1011</v>
      </c>
      <c r="B188" s="2" t="s">
        <v>27</v>
      </c>
      <c r="C188" s="2" t="s">
        <v>1012</v>
      </c>
      <c r="D188" s="2" t="s">
        <v>1013</v>
      </c>
      <c r="E188" s="2" t="s">
        <v>1014</v>
      </c>
      <c r="F188" s="2" t="s">
        <v>226</v>
      </c>
      <c r="G188" s="2" t="s">
        <v>227</v>
      </c>
      <c r="H188" s="2" t="s">
        <v>1003</v>
      </c>
      <c r="I188" s="2" t="s">
        <v>1004</v>
      </c>
      <c r="J188" s="2" t="s">
        <v>1005</v>
      </c>
      <c r="K188" s="2" t="s">
        <v>0</v>
      </c>
      <c r="L188" s="2" t="s">
        <v>837</v>
      </c>
      <c r="M188" s="2" t="s">
        <v>701</v>
      </c>
      <c r="N188" s="2" t="s">
        <v>12</v>
      </c>
      <c r="O188" s="2" t="s">
        <v>0</v>
      </c>
      <c r="P188" s="2" t="s">
        <v>149</v>
      </c>
      <c r="Q188" s="2" t="s">
        <v>150</v>
      </c>
      <c r="R188" s="2" t="s">
        <v>151</v>
      </c>
      <c r="S188" s="2" t="s">
        <v>17</v>
      </c>
      <c r="T188" s="2" t="s">
        <v>35</v>
      </c>
      <c r="U188" s="2" t="s">
        <v>0</v>
      </c>
    </row>
    <row r="189" spans="1:21">
      <c r="A189" s="2" t="s">
        <v>1015</v>
      </c>
      <c r="B189" s="2" t="s">
        <v>27</v>
      </c>
      <c r="C189" s="2" t="s">
        <v>1016</v>
      </c>
      <c r="D189" s="2" t="s">
        <v>65</v>
      </c>
      <c r="E189" s="2" t="s">
        <v>1017</v>
      </c>
      <c r="F189" s="2" t="s">
        <v>226</v>
      </c>
      <c r="G189" s="2" t="s">
        <v>227</v>
      </c>
      <c r="H189" s="2" t="s">
        <v>1003</v>
      </c>
      <c r="I189" s="2" t="s">
        <v>1004</v>
      </c>
      <c r="J189" s="2" t="s">
        <v>1005</v>
      </c>
      <c r="K189" s="2" t="s">
        <v>0</v>
      </c>
      <c r="L189" s="2" t="s">
        <v>837</v>
      </c>
      <c r="M189" s="2" t="s">
        <v>701</v>
      </c>
      <c r="N189" s="2" t="s">
        <v>12</v>
      </c>
      <c r="O189" s="2" t="s">
        <v>0</v>
      </c>
      <c r="P189" s="2" t="s">
        <v>149</v>
      </c>
      <c r="Q189" s="2" t="s">
        <v>1018</v>
      </c>
      <c r="R189" s="2" t="s">
        <v>1019</v>
      </c>
      <c r="S189" s="2" t="s">
        <v>17</v>
      </c>
      <c r="T189" s="2" t="s">
        <v>35</v>
      </c>
      <c r="U189" s="2" t="s">
        <v>0</v>
      </c>
    </row>
    <row r="190" spans="1:21">
      <c r="A190" s="2" t="s">
        <v>1020</v>
      </c>
      <c r="B190" s="2" t="s">
        <v>3</v>
      </c>
      <c r="C190" s="2" t="s">
        <v>1021</v>
      </c>
      <c r="D190" s="2" t="s">
        <v>1022</v>
      </c>
      <c r="E190" s="2" t="s">
        <v>1023</v>
      </c>
      <c r="F190" s="2" t="s">
        <v>7</v>
      </c>
      <c r="G190" s="2" t="s">
        <v>8</v>
      </c>
      <c r="H190" s="2" t="s">
        <v>1024</v>
      </c>
      <c r="I190" s="2" t="s">
        <v>0</v>
      </c>
      <c r="J190" s="2" t="s">
        <v>699</v>
      </c>
      <c r="K190" s="2" t="s">
        <v>700</v>
      </c>
      <c r="L190" s="2" t="s">
        <v>0</v>
      </c>
      <c r="M190" s="2" t="s">
        <v>701</v>
      </c>
      <c r="N190" s="2" t="s">
        <v>12</v>
      </c>
      <c r="O190" s="2" t="s">
        <v>13</v>
      </c>
      <c r="P190" s="2" t="s">
        <v>14</v>
      </c>
      <c r="Q190" s="2" t="s">
        <v>52</v>
      </c>
      <c r="R190" s="2" t="s">
        <v>747</v>
      </c>
      <c r="S190" s="2" t="s">
        <v>17</v>
      </c>
      <c r="T190" s="2" t="s">
        <v>18</v>
      </c>
      <c r="U190" s="2" t="s">
        <v>0</v>
      </c>
    </row>
    <row r="191" spans="1:21">
      <c r="A191" s="2" t="s">
        <v>1025</v>
      </c>
      <c r="B191" s="2" t="s">
        <v>27</v>
      </c>
      <c r="C191" s="2" t="s">
        <v>1026</v>
      </c>
      <c r="D191" s="2" t="s">
        <v>1027</v>
      </c>
      <c r="E191" s="2" t="s">
        <v>1028</v>
      </c>
      <c r="F191" s="2" t="s">
        <v>1029</v>
      </c>
      <c r="G191" s="2" t="s">
        <v>1030</v>
      </c>
      <c r="H191" s="2" t="s">
        <v>1024</v>
      </c>
      <c r="I191" s="2" t="s">
        <v>0</v>
      </c>
      <c r="J191" s="2" t="s">
        <v>699</v>
      </c>
      <c r="K191" s="2" t="s">
        <v>700</v>
      </c>
      <c r="L191" s="2" t="s">
        <v>0</v>
      </c>
      <c r="M191" s="2" t="s">
        <v>701</v>
      </c>
      <c r="N191" s="2" t="s">
        <v>12</v>
      </c>
      <c r="O191" s="2" t="s">
        <v>13</v>
      </c>
      <c r="P191" s="2" t="s">
        <v>14</v>
      </c>
      <c r="Q191" s="2" t="s">
        <v>52</v>
      </c>
      <c r="R191" s="2" t="s">
        <v>702</v>
      </c>
      <c r="S191" s="2" t="s">
        <v>17</v>
      </c>
      <c r="T191" s="2" t="s">
        <v>35</v>
      </c>
      <c r="U191" s="2" t="s">
        <v>1031</v>
      </c>
    </row>
    <row r="192" spans="1:21">
      <c r="A192" s="2" t="s">
        <v>1032</v>
      </c>
      <c r="B192" s="2" t="s">
        <v>27</v>
      </c>
      <c r="C192" s="2" t="s">
        <v>178</v>
      </c>
      <c r="D192" s="2" t="s">
        <v>1033</v>
      </c>
      <c r="E192" s="2" t="s">
        <v>1034</v>
      </c>
      <c r="F192" s="2" t="s">
        <v>1035</v>
      </c>
      <c r="G192" s="2" t="s">
        <v>1036</v>
      </c>
      <c r="H192" s="2" t="s">
        <v>1037</v>
      </c>
      <c r="I192" s="2" t="s">
        <v>1038</v>
      </c>
      <c r="J192" s="2" t="s">
        <v>818</v>
      </c>
      <c r="K192" s="2" t="s">
        <v>700</v>
      </c>
      <c r="L192" s="2" t="s">
        <v>0</v>
      </c>
      <c r="M192" s="2" t="s">
        <v>701</v>
      </c>
      <c r="N192" s="2" t="s">
        <v>12</v>
      </c>
      <c r="O192" s="2" t="s">
        <v>0</v>
      </c>
      <c r="P192" s="2" t="s">
        <v>14</v>
      </c>
      <c r="Q192" s="2" t="s">
        <v>15</v>
      </c>
      <c r="R192" s="2" t="s">
        <v>1039</v>
      </c>
      <c r="S192" s="2" t="s">
        <v>17</v>
      </c>
      <c r="T192" s="2" t="s">
        <v>35</v>
      </c>
      <c r="U192" s="2" t="s">
        <v>1040</v>
      </c>
    </row>
    <row r="193" spans="1:21">
      <c r="A193" s="2" t="s">
        <v>1041</v>
      </c>
      <c r="B193" s="2" t="s">
        <v>27</v>
      </c>
      <c r="C193" s="2" t="s">
        <v>1042</v>
      </c>
      <c r="D193" s="2" t="s">
        <v>1043</v>
      </c>
      <c r="E193" s="2" t="s">
        <v>1044</v>
      </c>
      <c r="F193" s="2" t="s">
        <v>226</v>
      </c>
      <c r="G193" s="2" t="s">
        <v>227</v>
      </c>
      <c r="H193" s="2" t="s">
        <v>1037</v>
      </c>
      <c r="I193" s="2" t="s">
        <v>1038</v>
      </c>
      <c r="J193" s="2" t="s">
        <v>818</v>
      </c>
      <c r="K193" s="2" t="s">
        <v>700</v>
      </c>
      <c r="L193" s="2" t="s">
        <v>0</v>
      </c>
      <c r="M193" s="2" t="s">
        <v>701</v>
      </c>
      <c r="N193" s="2" t="s">
        <v>12</v>
      </c>
      <c r="O193" s="2" t="s">
        <v>0</v>
      </c>
      <c r="P193" s="2" t="s">
        <v>14</v>
      </c>
      <c r="Q193" s="2" t="s">
        <v>15</v>
      </c>
      <c r="R193" s="2" t="s">
        <v>16</v>
      </c>
      <c r="S193" s="2" t="s">
        <v>17</v>
      </c>
      <c r="T193" s="2" t="s">
        <v>35</v>
      </c>
      <c r="U193" s="2" t="s">
        <v>1045</v>
      </c>
    </row>
    <row r="194" spans="1:21">
      <c r="A194" s="2" t="s">
        <v>1046</v>
      </c>
      <c r="B194" s="2" t="s">
        <v>27</v>
      </c>
      <c r="C194" s="2" t="s">
        <v>1047</v>
      </c>
      <c r="D194" s="2" t="s">
        <v>1048</v>
      </c>
      <c r="E194" s="2" t="s">
        <v>1049</v>
      </c>
      <c r="F194" s="2" t="s">
        <v>226</v>
      </c>
      <c r="G194" s="2" t="s">
        <v>227</v>
      </c>
      <c r="H194" s="2" t="s">
        <v>1037</v>
      </c>
      <c r="I194" s="2" t="s">
        <v>1038</v>
      </c>
      <c r="J194" s="2" t="s">
        <v>818</v>
      </c>
      <c r="K194" s="2" t="s">
        <v>700</v>
      </c>
      <c r="L194" s="2" t="s">
        <v>0</v>
      </c>
      <c r="M194" s="2" t="s">
        <v>701</v>
      </c>
      <c r="N194" s="2" t="s">
        <v>12</v>
      </c>
      <c r="O194" s="2" t="s">
        <v>0</v>
      </c>
      <c r="P194" s="2" t="s">
        <v>14</v>
      </c>
      <c r="Q194" s="2" t="s">
        <v>15</v>
      </c>
      <c r="R194" s="2" t="s">
        <v>16</v>
      </c>
      <c r="S194" s="2" t="s">
        <v>205</v>
      </c>
      <c r="T194" s="2" t="s">
        <v>35</v>
      </c>
      <c r="U194" s="2" t="s">
        <v>0</v>
      </c>
    </row>
    <row r="195" spans="1:21">
      <c r="A195" s="2" t="s">
        <v>1050</v>
      </c>
      <c r="B195" s="2" t="s">
        <v>27</v>
      </c>
      <c r="C195" s="2" t="s">
        <v>988</v>
      </c>
      <c r="D195" s="2" t="s">
        <v>1051</v>
      </c>
      <c r="E195" s="2" t="s">
        <v>1052</v>
      </c>
      <c r="F195" s="2" t="s">
        <v>226</v>
      </c>
      <c r="G195" s="2" t="s">
        <v>227</v>
      </c>
      <c r="H195" s="2" t="s">
        <v>1037</v>
      </c>
      <c r="I195" s="2" t="s">
        <v>1038</v>
      </c>
      <c r="J195" s="2" t="s">
        <v>818</v>
      </c>
      <c r="K195" s="2" t="s">
        <v>700</v>
      </c>
      <c r="L195" s="2" t="s">
        <v>0</v>
      </c>
      <c r="M195" s="2" t="s">
        <v>701</v>
      </c>
      <c r="N195" s="2" t="s">
        <v>12</v>
      </c>
      <c r="O195" s="2" t="s">
        <v>0</v>
      </c>
      <c r="P195" s="2" t="s">
        <v>14</v>
      </c>
      <c r="Q195" s="2" t="s">
        <v>15</v>
      </c>
      <c r="R195" s="2" t="s">
        <v>16</v>
      </c>
      <c r="S195" s="2" t="s">
        <v>17</v>
      </c>
      <c r="T195" s="2" t="s">
        <v>35</v>
      </c>
      <c r="U195" s="2" t="s">
        <v>0</v>
      </c>
    </row>
    <row r="196" spans="1:21">
      <c r="A196" s="2" t="s">
        <v>1053</v>
      </c>
      <c r="B196" s="2" t="s">
        <v>27</v>
      </c>
      <c r="C196" s="2" t="s">
        <v>957</v>
      </c>
      <c r="D196" s="2" t="s">
        <v>964</v>
      </c>
      <c r="E196" s="2" t="s">
        <v>1054</v>
      </c>
      <c r="F196" s="2" t="s">
        <v>1055</v>
      </c>
      <c r="G196" s="2" t="s">
        <v>696</v>
      </c>
      <c r="H196" s="2" t="s">
        <v>1056</v>
      </c>
      <c r="I196" s="2" t="s">
        <v>1057</v>
      </c>
      <c r="J196" s="2" t="s">
        <v>818</v>
      </c>
      <c r="K196" s="2" t="s">
        <v>700</v>
      </c>
      <c r="L196" s="2" t="s">
        <v>0</v>
      </c>
      <c r="M196" s="2" t="s">
        <v>701</v>
      </c>
      <c r="N196" s="2" t="s">
        <v>12</v>
      </c>
      <c r="O196" s="2" t="s">
        <v>0</v>
      </c>
      <c r="P196" s="2" t="s">
        <v>14</v>
      </c>
      <c r="Q196" s="2" t="s">
        <v>819</v>
      </c>
      <c r="R196" s="2" t="s">
        <v>820</v>
      </c>
      <c r="S196" s="2" t="s">
        <v>17</v>
      </c>
      <c r="T196" s="2" t="s">
        <v>35</v>
      </c>
      <c r="U196" s="2" t="s">
        <v>0</v>
      </c>
    </row>
    <row r="197" spans="1:21">
      <c r="A197" s="2" t="s">
        <v>1058</v>
      </c>
      <c r="B197" s="2" t="s">
        <v>27</v>
      </c>
      <c r="C197" s="2" t="s">
        <v>1059</v>
      </c>
      <c r="D197" s="2" t="s">
        <v>1060</v>
      </c>
      <c r="E197" s="2" t="s">
        <v>1061</v>
      </c>
      <c r="F197" s="2" t="s">
        <v>714</v>
      </c>
      <c r="G197" s="2" t="s">
        <v>715</v>
      </c>
      <c r="H197" s="2" t="s">
        <v>1056</v>
      </c>
      <c r="I197" s="2" t="s">
        <v>1057</v>
      </c>
      <c r="J197" s="2" t="s">
        <v>818</v>
      </c>
      <c r="K197" s="2" t="s">
        <v>700</v>
      </c>
      <c r="L197" s="2" t="s">
        <v>0</v>
      </c>
      <c r="M197" s="2" t="s">
        <v>701</v>
      </c>
      <c r="N197" s="2" t="s">
        <v>12</v>
      </c>
      <c r="O197" s="2" t="s">
        <v>0</v>
      </c>
      <c r="P197" s="2" t="s">
        <v>14</v>
      </c>
      <c r="Q197" s="2" t="s">
        <v>819</v>
      </c>
      <c r="R197" s="2" t="s">
        <v>820</v>
      </c>
      <c r="S197" s="2" t="s">
        <v>17</v>
      </c>
      <c r="T197" s="2" t="s">
        <v>35</v>
      </c>
      <c r="U197" s="2" t="s">
        <v>1062</v>
      </c>
    </row>
    <row r="198" spans="1:21">
      <c r="A198" s="2" t="s">
        <v>1063</v>
      </c>
      <c r="B198" s="2" t="s">
        <v>27</v>
      </c>
      <c r="C198" s="2" t="s">
        <v>1064</v>
      </c>
      <c r="D198" s="2" t="s">
        <v>1065</v>
      </c>
      <c r="E198" s="2" t="s">
        <v>1066</v>
      </c>
      <c r="F198" s="2" t="s">
        <v>226</v>
      </c>
      <c r="G198" s="2" t="s">
        <v>227</v>
      </c>
      <c r="H198" s="2" t="s">
        <v>1056</v>
      </c>
      <c r="I198" s="2" t="s">
        <v>1057</v>
      </c>
      <c r="J198" s="2" t="s">
        <v>818</v>
      </c>
      <c r="K198" s="2" t="s">
        <v>700</v>
      </c>
      <c r="L198" s="2" t="s">
        <v>0</v>
      </c>
      <c r="M198" s="2" t="s">
        <v>701</v>
      </c>
      <c r="N198" s="2" t="s">
        <v>12</v>
      </c>
      <c r="O198" s="2" t="s">
        <v>0</v>
      </c>
      <c r="P198" s="2" t="s">
        <v>14</v>
      </c>
      <c r="Q198" s="2" t="s">
        <v>819</v>
      </c>
      <c r="R198" s="2" t="s">
        <v>820</v>
      </c>
      <c r="S198" s="2" t="s">
        <v>17</v>
      </c>
      <c r="T198" s="2" t="s">
        <v>35</v>
      </c>
      <c r="U198" s="2" t="s">
        <v>0</v>
      </c>
    </row>
    <row r="199" spans="1:21">
      <c r="A199" s="2" t="s">
        <v>1067</v>
      </c>
      <c r="B199" s="2" t="s">
        <v>27</v>
      </c>
      <c r="C199" s="2" t="s">
        <v>1068</v>
      </c>
      <c r="D199" s="2" t="s">
        <v>1069</v>
      </c>
      <c r="E199" s="2" t="s">
        <v>1070</v>
      </c>
      <c r="F199" s="2" t="s">
        <v>695</v>
      </c>
      <c r="G199" s="2" t="s">
        <v>696</v>
      </c>
      <c r="H199" s="2" t="s">
        <v>1056</v>
      </c>
      <c r="I199" s="2" t="s">
        <v>1057</v>
      </c>
      <c r="J199" s="2" t="s">
        <v>818</v>
      </c>
      <c r="K199" s="2" t="s">
        <v>700</v>
      </c>
      <c r="L199" s="2" t="s">
        <v>0</v>
      </c>
      <c r="M199" s="2" t="s">
        <v>701</v>
      </c>
      <c r="N199" s="2" t="s">
        <v>12</v>
      </c>
      <c r="O199" s="2" t="s">
        <v>0</v>
      </c>
      <c r="P199" s="2" t="s">
        <v>14</v>
      </c>
      <c r="Q199" s="2" t="s">
        <v>819</v>
      </c>
      <c r="R199" s="2" t="s">
        <v>820</v>
      </c>
      <c r="S199" s="2" t="s">
        <v>17</v>
      </c>
      <c r="T199" s="2" t="s">
        <v>35</v>
      </c>
      <c r="U199" s="2" t="s">
        <v>0</v>
      </c>
    </row>
    <row r="200" spans="1:21">
      <c r="A200" s="2" t="s">
        <v>1071</v>
      </c>
      <c r="B200" s="2" t="s">
        <v>27</v>
      </c>
      <c r="C200" s="2" t="s">
        <v>1072</v>
      </c>
      <c r="D200" s="2" t="s">
        <v>1073</v>
      </c>
      <c r="E200" s="2" t="s">
        <v>1074</v>
      </c>
      <c r="F200" s="2" t="s">
        <v>226</v>
      </c>
      <c r="G200" s="2" t="s">
        <v>227</v>
      </c>
      <c r="H200" s="2" t="s">
        <v>1056</v>
      </c>
      <c r="I200" s="2" t="s">
        <v>1057</v>
      </c>
      <c r="J200" s="2" t="s">
        <v>818</v>
      </c>
      <c r="K200" s="2" t="s">
        <v>700</v>
      </c>
      <c r="L200" s="2" t="s">
        <v>0</v>
      </c>
      <c r="M200" s="2" t="s">
        <v>701</v>
      </c>
      <c r="N200" s="2" t="s">
        <v>12</v>
      </c>
      <c r="O200" s="2" t="s">
        <v>0</v>
      </c>
      <c r="P200" s="2" t="s">
        <v>14</v>
      </c>
      <c r="Q200" s="2" t="s">
        <v>819</v>
      </c>
      <c r="R200" s="2" t="s">
        <v>820</v>
      </c>
      <c r="S200" s="2" t="s">
        <v>17</v>
      </c>
      <c r="T200" s="2" t="s">
        <v>35</v>
      </c>
      <c r="U200" s="2" t="s">
        <v>0</v>
      </c>
    </row>
    <row r="201" spans="1:21">
      <c r="A201" s="2" t="s">
        <v>1075</v>
      </c>
      <c r="B201" s="2" t="s">
        <v>27</v>
      </c>
      <c r="C201" s="2" t="s">
        <v>1076</v>
      </c>
      <c r="D201" s="2" t="s">
        <v>1077</v>
      </c>
      <c r="E201" s="2" t="s">
        <v>1078</v>
      </c>
      <c r="F201" s="2" t="s">
        <v>1079</v>
      </c>
      <c r="G201" s="2" t="s">
        <v>1080</v>
      </c>
      <c r="H201" s="2" t="s">
        <v>1081</v>
      </c>
      <c r="I201" s="2" t="s">
        <v>1082</v>
      </c>
      <c r="J201" s="2" t="s">
        <v>0</v>
      </c>
      <c r="K201" s="2" t="s">
        <v>0</v>
      </c>
      <c r="L201" s="2" t="s">
        <v>1083</v>
      </c>
      <c r="M201" s="2" t="s">
        <v>701</v>
      </c>
      <c r="N201" s="2" t="s">
        <v>12</v>
      </c>
      <c r="O201" s="2" t="s">
        <v>13</v>
      </c>
      <c r="P201" s="2" t="s">
        <v>14</v>
      </c>
      <c r="Q201" s="2" t="s">
        <v>15</v>
      </c>
      <c r="R201" s="2" t="s">
        <v>16</v>
      </c>
      <c r="S201" s="2" t="s">
        <v>17</v>
      </c>
      <c r="T201" s="2" t="s">
        <v>35</v>
      </c>
      <c r="U201" s="2" t="s">
        <v>0</v>
      </c>
    </row>
    <row r="202" spans="1:21">
      <c r="A202" s="2" t="s">
        <v>1084</v>
      </c>
      <c r="B202" s="2" t="s">
        <v>3</v>
      </c>
      <c r="C202" s="2" t="s">
        <v>1085</v>
      </c>
      <c r="D202" s="2" t="s">
        <v>1086</v>
      </c>
      <c r="E202" s="2" t="s">
        <v>1087</v>
      </c>
      <c r="F202" s="2" t="s">
        <v>226</v>
      </c>
      <c r="G202" s="2" t="s">
        <v>227</v>
      </c>
      <c r="H202" s="2" t="s">
        <v>1081</v>
      </c>
      <c r="I202" s="2" t="s">
        <v>1082</v>
      </c>
      <c r="J202" s="2" t="s">
        <v>0</v>
      </c>
      <c r="K202" s="2" t="s">
        <v>0</v>
      </c>
      <c r="L202" s="2" t="s">
        <v>1083</v>
      </c>
      <c r="M202" s="2" t="s">
        <v>701</v>
      </c>
      <c r="N202" s="2" t="s">
        <v>12</v>
      </c>
      <c r="O202" s="2" t="s">
        <v>13</v>
      </c>
      <c r="P202" s="2" t="s">
        <v>14</v>
      </c>
      <c r="Q202" s="2" t="s">
        <v>15</v>
      </c>
      <c r="R202" s="2" t="s">
        <v>16</v>
      </c>
      <c r="S202" s="2" t="s">
        <v>17</v>
      </c>
      <c r="T202" s="2" t="s">
        <v>18</v>
      </c>
      <c r="U202" s="2" t="s">
        <v>0</v>
      </c>
    </row>
    <row r="203" spans="1:21">
      <c r="A203" s="2" t="s">
        <v>1088</v>
      </c>
      <c r="B203" s="2" t="s">
        <v>27</v>
      </c>
      <c r="C203" s="2" t="s">
        <v>496</v>
      </c>
      <c r="D203" s="2" t="s">
        <v>1089</v>
      </c>
      <c r="E203" s="2" t="s">
        <v>1090</v>
      </c>
      <c r="F203" s="2" t="s">
        <v>226</v>
      </c>
      <c r="G203" s="2" t="s">
        <v>227</v>
      </c>
      <c r="H203" s="2" t="s">
        <v>1081</v>
      </c>
      <c r="I203" s="2" t="s">
        <v>1082</v>
      </c>
      <c r="J203" s="2" t="s">
        <v>0</v>
      </c>
      <c r="K203" s="2" t="s">
        <v>0</v>
      </c>
      <c r="L203" s="2" t="s">
        <v>1083</v>
      </c>
      <c r="M203" s="2" t="s">
        <v>701</v>
      </c>
      <c r="N203" s="2" t="s">
        <v>12</v>
      </c>
      <c r="O203" s="2" t="s">
        <v>13</v>
      </c>
      <c r="P203" s="2" t="s">
        <v>14</v>
      </c>
      <c r="Q203" s="2" t="s">
        <v>15</v>
      </c>
      <c r="R203" s="2" t="s">
        <v>16</v>
      </c>
      <c r="S203" s="2" t="s">
        <v>17</v>
      </c>
      <c r="T203" s="2" t="s">
        <v>35</v>
      </c>
      <c r="U203" s="2" t="s">
        <v>0</v>
      </c>
    </row>
    <row r="204" spans="1:21">
      <c r="A204" s="2" t="s">
        <v>1091</v>
      </c>
      <c r="B204" s="2" t="s">
        <v>3</v>
      </c>
      <c r="C204" s="2" t="s">
        <v>1092</v>
      </c>
      <c r="D204" s="2" t="s">
        <v>1093</v>
      </c>
      <c r="E204" s="2" t="s">
        <v>1094</v>
      </c>
      <c r="F204" s="2" t="s">
        <v>226</v>
      </c>
      <c r="G204" s="2" t="s">
        <v>227</v>
      </c>
      <c r="H204" s="2" t="s">
        <v>1095</v>
      </c>
      <c r="I204" s="2" t="s">
        <v>0</v>
      </c>
      <c r="J204" s="2" t="s">
        <v>1096</v>
      </c>
      <c r="K204" s="2" t="s">
        <v>0</v>
      </c>
      <c r="L204" s="2" t="s">
        <v>1097</v>
      </c>
      <c r="M204" s="2" t="s">
        <v>701</v>
      </c>
      <c r="N204" s="2" t="s">
        <v>12</v>
      </c>
      <c r="O204" s="2" t="s">
        <v>13</v>
      </c>
      <c r="P204" s="2" t="s">
        <v>14</v>
      </c>
      <c r="Q204" s="2" t="s">
        <v>0</v>
      </c>
      <c r="R204" s="2" t="s">
        <v>53</v>
      </c>
      <c r="S204" s="2" t="s">
        <v>17</v>
      </c>
      <c r="T204" s="2" t="s">
        <v>18</v>
      </c>
      <c r="U204" s="2" t="s">
        <v>0</v>
      </c>
    </row>
    <row r="205" spans="1:21">
      <c r="A205" s="2" t="s">
        <v>1098</v>
      </c>
      <c r="B205" s="2" t="s">
        <v>27</v>
      </c>
      <c r="C205" s="2" t="s">
        <v>1099</v>
      </c>
      <c r="D205" s="2" t="s">
        <v>1100</v>
      </c>
      <c r="E205" s="2" t="s">
        <v>1101</v>
      </c>
      <c r="F205" s="2" t="s">
        <v>226</v>
      </c>
      <c r="G205" s="2" t="s">
        <v>227</v>
      </c>
      <c r="H205" s="2" t="s">
        <v>1095</v>
      </c>
      <c r="I205" s="2" t="s">
        <v>0</v>
      </c>
      <c r="J205" s="2" t="s">
        <v>1096</v>
      </c>
      <c r="K205" s="2" t="s">
        <v>0</v>
      </c>
      <c r="L205" s="2" t="s">
        <v>1097</v>
      </c>
      <c r="M205" s="2" t="s">
        <v>701</v>
      </c>
      <c r="N205" s="2" t="s">
        <v>12</v>
      </c>
      <c r="O205" s="2" t="s">
        <v>13</v>
      </c>
      <c r="P205" s="2" t="s">
        <v>33</v>
      </c>
      <c r="Q205" s="2" t="s">
        <v>83</v>
      </c>
      <c r="R205" s="2" t="s">
        <v>34</v>
      </c>
      <c r="S205" s="2" t="s">
        <v>84</v>
      </c>
      <c r="T205" s="2" t="s">
        <v>35</v>
      </c>
      <c r="U205" s="2" t="s">
        <v>0</v>
      </c>
    </row>
    <row r="206" spans="1:21">
      <c r="A206" s="2" t="s">
        <v>1102</v>
      </c>
      <c r="B206" s="2" t="s">
        <v>27</v>
      </c>
      <c r="C206" s="2" t="s">
        <v>1103</v>
      </c>
      <c r="D206" s="2" t="s">
        <v>1104</v>
      </c>
      <c r="E206" s="2" t="s">
        <v>1105</v>
      </c>
      <c r="F206" s="2" t="s">
        <v>1106</v>
      </c>
      <c r="G206" s="2" t="s">
        <v>1107</v>
      </c>
      <c r="H206" s="2" t="s">
        <v>1095</v>
      </c>
      <c r="I206" s="2" t="s">
        <v>0</v>
      </c>
      <c r="J206" s="2" t="s">
        <v>1096</v>
      </c>
      <c r="K206" s="2" t="s">
        <v>0</v>
      </c>
      <c r="L206" s="2" t="s">
        <v>1097</v>
      </c>
      <c r="M206" s="2" t="s">
        <v>701</v>
      </c>
      <c r="N206" s="2" t="s">
        <v>12</v>
      </c>
      <c r="O206" s="2" t="s">
        <v>13</v>
      </c>
      <c r="P206" s="2" t="s">
        <v>14</v>
      </c>
      <c r="Q206" s="2" t="s">
        <v>52</v>
      </c>
      <c r="R206" s="2" t="s">
        <v>53</v>
      </c>
      <c r="S206" s="2" t="s">
        <v>17</v>
      </c>
      <c r="T206" s="2" t="s">
        <v>35</v>
      </c>
      <c r="U206" s="2" t="s">
        <v>0</v>
      </c>
    </row>
    <row r="207" spans="1:21">
      <c r="A207" s="2" t="s">
        <v>1108</v>
      </c>
      <c r="B207" s="2" t="s">
        <v>3</v>
      </c>
      <c r="C207" s="2" t="s">
        <v>1109</v>
      </c>
      <c r="D207" s="2" t="s">
        <v>1110</v>
      </c>
      <c r="E207" s="2" t="s">
        <v>1111</v>
      </c>
      <c r="F207" s="2" t="s">
        <v>226</v>
      </c>
      <c r="G207" s="2" t="s">
        <v>227</v>
      </c>
      <c r="H207" s="2" t="s">
        <v>1095</v>
      </c>
      <c r="I207" s="2" t="s">
        <v>0</v>
      </c>
      <c r="J207" s="2" t="s">
        <v>1096</v>
      </c>
      <c r="K207" s="2" t="s">
        <v>0</v>
      </c>
      <c r="L207" s="2" t="s">
        <v>1097</v>
      </c>
      <c r="M207" s="2" t="s">
        <v>701</v>
      </c>
      <c r="N207" s="2" t="s">
        <v>12</v>
      </c>
      <c r="O207" s="2" t="s">
        <v>13</v>
      </c>
      <c r="P207" s="2" t="s">
        <v>14</v>
      </c>
      <c r="Q207" s="2" t="s">
        <v>52</v>
      </c>
      <c r="R207" s="2" t="s">
        <v>53</v>
      </c>
      <c r="S207" s="2" t="s">
        <v>17</v>
      </c>
      <c r="T207" s="2" t="s">
        <v>18</v>
      </c>
      <c r="U207" s="2" t="s">
        <v>0</v>
      </c>
    </row>
    <row r="208" spans="1:21">
      <c r="A208" s="2" t="s">
        <v>1112</v>
      </c>
      <c r="B208" s="2" t="s">
        <v>27</v>
      </c>
      <c r="C208" s="2" t="s">
        <v>1113</v>
      </c>
      <c r="D208" s="2" t="s">
        <v>1114</v>
      </c>
      <c r="E208" s="2" t="s">
        <v>1115</v>
      </c>
      <c r="F208" s="2" t="s">
        <v>1106</v>
      </c>
      <c r="G208" s="2" t="s">
        <v>1107</v>
      </c>
      <c r="H208" s="2" t="s">
        <v>1095</v>
      </c>
      <c r="I208" s="2" t="s">
        <v>0</v>
      </c>
      <c r="J208" s="2" t="s">
        <v>1096</v>
      </c>
      <c r="K208" s="2" t="s">
        <v>0</v>
      </c>
      <c r="L208" s="2" t="s">
        <v>1097</v>
      </c>
      <c r="M208" s="2" t="s">
        <v>701</v>
      </c>
      <c r="N208" s="2" t="s">
        <v>12</v>
      </c>
      <c r="O208" s="2" t="s">
        <v>13</v>
      </c>
      <c r="P208" s="2" t="s">
        <v>14</v>
      </c>
      <c r="Q208" s="2" t="s">
        <v>52</v>
      </c>
      <c r="R208" s="2" t="s">
        <v>53</v>
      </c>
      <c r="S208" s="2" t="s">
        <v>17</v>
      </c>
      <c r="T208" s="2" t="s">
        <v>35</v>
      </c>
      <c r="U208" s="2" t="s">
        <v>0</v>
      </c>
    </row>
    <row r="209" spans="1:21">
      <c r="A209" s="2" t="s">
        <v>1116</v>
      </c>
      <c r="B209" s="2" t="s">
        <v>27</v>
      </c>
      <c r="C209" s="2" t="s">
        <v>1117</v>
      </c>
      <c r="D209" s="2" t="s">
        <v>1118</v>
      </c>
      <c r="E209" s="2" t="s">
        <v>1119</v>
      </c>
      <c r="F209" s="2" t="s">
        <v>226</v>
      </c>
      <c r="G209" s="2" t="s">
        <v>227</v>
      </c>
      <c r="H209" s="2" t="s">
        <v>1095</v>
      </c>
      <c r="I209" s="2" t="s">
        <v>0</v>
      </c>
      <c r="J209" s="2" t="s">
        <v>1096</v>
      </c>
      <c r="K209" s="2" t="s">
        <v>0</v>
      </c>
      <c r="L209" s="2" t="s">
        <v>1097</v>
      </c>
      <c r="M209" s="2" t="s">
        <v>701</v>
      </c>
      <c r="N209" s="2" t="s">
        <v>12</v>
      </c>
      <c r="O209" s="2" t="s">
        <v>13</v>
      </c>
      <c r="P209" s="2" t="s">
        <v>14</v>
      </c>
      <c r="Q209" s="2" t="s">
        <v>52</v>
      </c>
      <c r="R209" s="2" t="s">
        <v>53</v>
      </c>
      <c r="S209" s="2" t="s">
        <v>17</v>
      </c>
      <c r="T209" s="2" t="s">
        <v>35</v>
      </c>
      <c r="U209" s="2" t="s">
        <v>0</v>
      </c>
    </row>
    <row r="210" spans="1:21">
      <c r="A210" s="2" t="s">
        <v>1120</v>
      </c>
      <c r="B210" s="2" t="s">
        <v>3</v>
      </c>
      <c r="C210" s="2" t="s">
        <v>1121</v>
      </c>
      <c r="D210" s="2" t="s">
        <v>1122</v>
      </c>
      <c r="E210" s="2" t="s">
        <v>1123</v>
      </c>
      <c r="F210" s="2" t="s">
        <v>226</v>
      </c>
      <c r="G210" s="2" t="s">
        <v>227</v>
      </c>
      <c r="H210" s="2" t="s">
        <v>1095</v>
      </c>
      <c r="I210" s="2" t="s">
        <v>0</v>
      </c>
      <c r="J210" s="2" t="s">
        <v>1096</v>
      </c>
      <c r="K210" s="2" t="s">
        <v>0</v>
      </c>
      <c r="L210" s="2" t="s">
        <v>1097</v>
      </c>
      <c r="M210" s="2" t="s">
        <v>701</v>
      </c>
      <c r="N210" s="2" t="s">
        <v>12</v>
      </c>
      <c r="O210" s="2" t="s">
        <v>13</v>
      </c>
      <c r="P210" s="2" t="s">
        <v>14</v>
      </c>
      <c r="Q210" s="2" t="s">
        <v>52</v>
      </c>
      <c r="R210" s="2" t="s">
        <v>53</v>
      </c>
      <c r="S210" s="2" t="s">
        <v>17</v>
      </c>
      <c r="T210" s="2" t="s">
        <v>18</v>
      </c>
      <c r="U210" s="2" t="s">
        <v>0</v>
      </c>
    </row>
    <row r="211" spans="1:21">
      <c r="A211" s="2" t="s">
        <v>1124</v>
      </c>
      <c r="B211" s="2" t="s">
        <v>27</v>
      </c>
      <c r="C211" s="2" t="s">
        <v>1125</v>
      </c>
      <c r="D211" s="2" t="s">
        <v>1126</v>
      </c>
      <c r="E211" s="2" t="s">
        <v>1127</v>
      </c>
      <c r="F211" s="2" t="s">
        <v>226</v>
      </c>
      <c r="G211" s="2" t="s">
        <v>227</v>
      </c>
      <c r="H211" s="2" t="s">
        <v>1095</v>
      </c>
      <c r="I211" s="2" t="s">
        <v>0</v>
      </c>
      <c r="J211" s="2" t="s">
        <v>1096</v>
      </c>
      <c r="K211" s="2" t="s">
        <v>0</v>
      </c>
      <c r="L211" s="2" t="s">
        <v>1097</v>
      </c>
      <c r="M211" s="2" t="s">
        <v>701</v>
      </c>
      <c r="N211" s="2" t="s">
        <v>12</v>
      </c>
      <c r="O211" s="2" t="s">
        <v>13</v>
      </c>
      <c r="P211" s="2" t="s">
        <v>14</v>
      </c>
      <c r="Q211" s="2" t="s">
        <v>52</v>
      </c>
      <c r="R211" s="2" t="s">
        <v>53</v>
      </c>
      <c r="S211" s="2" t="s">
        <v>17</v>
      </c>
      <c r="T211" s="2" t="s">
        <v>35</v>
      </c>
      <c r="U211" s="2" t="s">
        <v>0</v>
      </c>
    </row>
    <row r="212" spans="1:21">
      <c r="A212" s="2" t="s">
        <v>1128</v>
      </c>
      <c r="B212" s="2" t="s">
        <v>27</v>
      </c>
      <c r="C212" s="2" t="s">
        <v>1129</v>
      </c>
      <c r="D212" s="2" t="s">
        <v>1130</v>
      </c>
      <c r="E212" s="2" t="s">
        <v>1131</v>
      </c>
      <c r="F212" s="2" t="s">
        <v>226</v>
      </c>
      <c r="G212" s="2" t="s">
        <v>227</v>
      </c>
      <c r="H212" s="2" t="s">
        <v>1095</v>
      </c>
      <c r="I212" s="2" t="s">
        <v>0</v>
      </c>
      <c r="J212" s="2" t="s">
        <v>1096</v>
      </c>
      <c r="K212" s="2" t="s">
        <v>0</v>
      </c>
      <c r="L212" s="2" t="s">
        <v>1097</v>
      </c>
      <c r="M212" s="2" t="s">
        <v>701</v>
      </c>
      <c r="N212" s="2" t="s">
        <v>12</v>
      </c>
      <c r="O212" s="2" t="s">
        <v>13</v>
      </c>
      <c r="P212" s="2" t="s">
        <v>14</v>
      </c>
      <c r="Q212" s="2" t="s">
        <v>52</v>
      </c>
      <c r="R212" s="2" t="s">
        <v>53</v>
      </c>
      <c r="S212" s="2" t="s">
        <v>205</v>
      </c>
      <c r="T212" s="2" t="s">
        <v>35</v>
      </c>
      <c r="U212" s="2" t="s">
        <v>0</v>
      </c>
    </row>
    <row r="213" spans="1:21">
      <c r="A213" s="2" t="s">
        <v>1132</v>
      </c>
      <c r="B213" s="2" t="s">
        <v>27</v>
      </c>
      <c r="C213" s="2" t="s">
        <v>1133</v>
      </c>
      <c r="D213" s="2" t="s">
        <v>1134</v>
      </c>
      <c r="E213" s="2" t="s">
        <v>1135</v>
      </c>
      <c r="F213" s="2" t="s">
        <v>226</v>
      </c>
      <c r="G213" s="2" t="s">
        <v>227</v>
      </c>
      <c r="H213" s="2" t="s">
        <v>1136</v>
      </c>
      <c r="I213" s="2" t="s">
        <v>1137</v>
      </c>
      <c r="J213" s="2" t="s">
        <v>818</v>
      </c>
      <c r="K213" s="2" t="s">
        <v>700</v>
      </c>
      <c r="L213" s="2" t="s">
        <v>0</v>
      </c>
      <c r="M213" s="2" t="s">
        <v>701</v>
      </c>
      <c r="N213" s="2" t="s">
        <v>12</v>
      </c>
      <c r="O213" s="2" t="s">
        <v>0</v>
      </c>
      <c r="P213" s="2" t="s">
        <v>14</v>
      </c>
      <c r="Q213" s="2" t="s">
        <v>0</v>
      </c>
      <c r="R213" s="2" t="s">
        <v>1039</v>
      </c>
      <c r="S213" s="2" t="s">
        <v>17</v>
      </c>
      <c r="T213" s="2" t="s">
        <v>35</v>
      </c>
      <c r="U213" s="2" t="s">
        <v>0</v>
      </c>
    </row>
    <row r="214" spans="1:21">
      <c r="A214" s="2" t="s">
        <v>1138</v>
      </c>
      <c r="B214" s="2" t="s">
        <v>27</v>
      </c>
      <c r="C214" s="2" t="s">
        <v>1139</v>
      </c>
      <c r="D214" s="2" t="s">
        <v>1140</v>
      </c>
      <c r="E214" s="2" t="s">
        <v>1141</v>
      </c>
      <c r="F214" s="2" t="s">
        <v>1142</v>
      </c>
      <c r="G214" s="2" t="s">
        <v>1143</v>
      </c>
      <c r="H214" s="2" t="s">
        <v>1136</v>
      </c>
      <c r="I214" s="2" t="s">
        <v>1137</v>
      </c>
      <c r="J214" s="2" t="s">
        <v>818</v>
      </c>
      <c r="K214" s="2" t="s">
        <v>700</v>
      </c>
      <c r="L214" s="2" t="s">
        <v>0</v>
      </c>
      <c r="M214" s="2" t="s">
        <v>701</v>
      </c>
      <c r="N214" s="2" t="s">
        <v>12</v>
      </c>
      <c r="O214" s="2" t="s">
        <v>0</v>
      </c>
      <c r="P214" s="2" t="s">
        <v>14</v>
      </c>
      <c r="Q214" s="2" t="s">
        <v>15</v>
      </c>
      <c r="R214" s="2" t="s">
        <v>16</v>
      </c>
      <c r="S214" s="2" t="s">
        <v>17</v>
      </c>
      <c r="T214" s="2" t="s">
        <v>35</v>
      </c>
      <c r="U214" s="2" t="s">
        <v>1144</v>
      </c>
    </row>
    <row r="215" spans="1:21">
      <c r="A215" s="2" t="s">
        <v>1145</v>
      </c>
      <c r="B215" s="2" t="s">
        <v>27</v>
      </c>
      <c r="C215" s="2" t="s">
        <v>1146</v>
      </c>
      <c r="D215" s="2" t="s">
        <v>1147</v>
      </c>
      <c r="E215" s="2" t="s">
        <v>1148</v>
      </c>
      <c r="F215" s="2" t="s">
        <v>226</v>
      </c>
      <c r="G215" s="2" t="s">
        <v>227</v>
      </c>
      <c r="H215" s="2" t="s">
        <v>1136</v>
      </c>
      <c r="I215" s="2" t="s">
        <v>1137</v>
      </c>
      <c r="J215" s="2" t="s">
        <v>818</v>
      </c>
      <c r="K215" s="2" t="s">
        <v>700</v>
      </c>
      <c r="L215" s="2" t="s">
        <v>0</v>
      </c>
      <c r="M215" s="2" t="s">
        <v>701</v>
      </c>
      <c r="N215" s="2" t="s">
        <v>12</v>
      </c>
      <c r="O215" s="2" t="s">
        <v>0</v>
      </c>
      <c r="P215" s="2" t="s">
        <v>14</v>
      </c>
      <c r="Q215" s="2" t="s">
        <v>15</v>
      </c>
      <c r="R215" s="2" t="s">
        <v>16</v>
      </c>
      <c r="S215" s="2" t="s">
        <v>17</v>
      </c>
      <c r="T215" s="2" t="s">
        <v>35</v>
      </c>
      <c r="U215" s="2" t="s">
        <v>0</v>
      </c>
    </row>
    <row r="216" spans="1:21">
      <c r="A216" s="2" t="s">
        <v>1149</v>
      </c>
      <c r="B216" s="2" t="s">
        <v>27</v>
      </c>
      <c r="C216" s="2" t="s">
        <v>1150</v>
      </c>
      <c r="D216" s="2" t="s">
        <v>1151</v>
      </c>
      <c r="E216" s="2" t="s">
        <v>1152</v>
      </c>
      <c r="F216" s="2" t="s">
        <v>226</v>
      </c>
      <c r="G216" s="2" t="s">
        <v>227</v>
      </c>
      <c r="H216" s="2" t="s">
        <v>1136</v>
      </c>
      <c r="I216" s="2" t="s">
        <v>1137</v>
      </c>
      <c r="J216" s="2" t="s">
        <v>818</v>
      </c>
      <c r="K216" s="2" t="s">
        <v>700</v>
      </c>
      <c r="L216" s="2" t="s">
        <v>0</v>
      </c>
      <c r="M216" s="2" t="s">
        <v>701</v>
      </c>
      <c r="N216" s="2" t="s">
        <v>12</v>
      </c>
      <c r="O216" s="2" t="s">
        <v>0</v>
      </c>
      <c r="P216" s="2" t="s">
        <v>14</v>
      </c>
      <c r="Q216" s="2" t="s">
        <v>1153</v>
      </c>
      <c r="R216" s="2" t="s">
        <v>1039</v>
      </c>
      <c r="S216" s="2" t="s">
        <v>17</v>
      </c>
      <c r="T216" s="2" t="s">
        <v>35</v>
      </c>
      <c r="U216" s="2" t="s">
        <v>0</v>
      </c>
    </row>
    <row r="217" spans="1:21">
      <c r="A217" s="2" t="s">
        <v>1154</v>
      </c>
      <c r="B217" s="2" t="s">
        <v>27</v>
      </c>
      <c r="C217" s="2" t="s">
        <v>754</v>
      </c>
      <c r="D217" s="2" t="s">
        <v>1155</v>
      </c>
      <c r="E217" s="2" t="s">
        <v>1156</v>
      </c>
      <c r="F217" s="2" t="s">
        <v>927</v>
      </c>
      <c r="G217" s="2" t="s">
        <v>928</v>
      </c>
      <c r="H217" s="2" t="s">
        <v>1136</v>
      </c>
      <c r="I217" s="2" t="s">
        <v>1137</v>
      </c>
      <c r="J217" s="2" t="s">
        <v>818</v>
      </c>
      <c r="K217" s="2" t="s">
        <v>700</v>
      </c>
      <c r="L217" s="2" t="s">
        <v>0</v>
      </c>
      <c r="M217" s="2" t="s">
        <v>701</v>
      </c>
      <c r="N217" s="2" t="s">
        <v>12</v>
      </c>
      <c r="O217" s="2" t="s">
        <v>0</v>
      </c>
      <c r="P217" s="2" t="s">
        <v>14</v>
      </c>
      <c r="Q217" s="2" t="s">
        <v>878</v>
      </c>
      <c r="R217" s="2" t="s">
        <v>16</v>
      </c>
      <c r="S217" s="2" t="s">
        <v>17</v>
      </c>
      <c r="T217" s="2" t="s">
        <v>35</v>
      </c>
      <c r="U217" s="2" t="s">
        <v>0</v>
      </c>
    </row>
    <row r="218" spans="1:21">
      <c r="A218" s="2" t="s">
        <v>1157</v>
      </c>
      <c r="B218" s="2" t="s">
        <v>27</v>
      </c>
      <c r="C218" s="2" t="s">
        <v>1158</v>
      </c>
      <c r="D218" s="2" t="s">
        <v>1159</v>
      </c>
      <c r="E218" s="2" t="s">
        <v>1160</v>
      </c>
      <c r="F218" s="2" t="s">
        <v>1161</v>
      </c>
      <c r="G218" s="2" t="s">
        <v>921</v>
      </c>
      <c r="H218" s="2" t="s">
        <v>1162</v>
      </c>
      <c r="I218" s="2" t="s">
        <v>1163</v>
      </c>
      <c r="J218" s="2" t="s">
        <v>818</v>
      </c>
      <c r="K218" s="2" t="s">
        <v>700</v>
      </c>
      <c r="L218" s="2" t="s">
        <v>0</v>
      </c>
      <c r="M218" s="2" t="s">
        <v>701</v>
      </c>
      <c r="N218" s="2" t="s">
        <v>12</v>
      </c>
      <c r="O218" s="2" t="s">
        <v>0</v>
      </c>
      <c r="P218" s="2" t="s">
        <v>14</v>
      </c>
      <c r="Q218" s="2" t="s">
        <v>819</v>
      </c>
      <c r="R218" s="2" t="s">
        <v>820</v>
      </c>
      <c r="S218" s="2" t="s">
        <v>17</v>
      </c>
      <c r="T218" s="2" t="s">
        <v>35</v>
      </c>
      <c r="U218" s="2" t="s">
        <v>1164</v>
      </c>
    </row>
    <row r="219" spans="1:21">
      <c r="A219" s="2" t="s">
        <v>1165</v>
      </c>
      <c r="B219" s="2" t="s">
        <v>27</v>
      </c>
      <c r="C219" s="2" t="s">
        <v>734</v>
      </c>
      <c r="D219" s="2" t="s">
        <v>1166</v>
      </c>
      <c r="E219" s="2" t="s">
        <v>1167</v>
      </c>
      <c r="F219" s="2" t="s">
        <v>226</v>
      </c>
      <c r="G219" s="2" t="s">
        <v>227</v>
      </c>
      <c r="H219" s="2" t="s">
        <v>1162</v>
      </c>
      <c r="I219" s="2" t="s">
        <v>1163</v>
      </c>
      <c r="J219" s="2" t="s">
        <v>818</v>
      </c>
      <c r="K219" s="2" t="s">
        <v>700</v>
      </c>
      <c r="L219" s="2" t="s">
        <v>0</v>
      </c>
      <c r="M219" s="2" t="s">
        <v>701</v>
      </c>
      <c r="N219" s="2" t="s">
        <v>12</v>
      </c>
      <c r="O219" s="2" t="s">
        <v>0</v>
      </c>
      <c r="P219" s="2" t="s">
        <v>14</v>
      </c>
      <c r="Q219" s="2" t="s">
        <v>819</v>
      </c>
      <c r="R219" s="2" t="s">
        <v>820</v>
      </c>
      <c r="S219" s="2" t="s">
        <v>17</v>
      </c>
      <c r="T219" s="2" t="s">
        <v>35</v>
      </c>
      <c r="U219" s="2" t="s">
        <v>0</v>
      </c>
    </row>
    <row r="220" spans="1:21">
      <c r="A220" s="2" t="s">
        <v>1168</v>
      </c>
      <c r="B220" s="2" t="s">
        <v>27</v>
      </c>
      <c r="C220" s="2" t="s">
        <v>1169</v>
      </c>
      <c r="D220" s="2" t="s">
        <v>1170</v>
      </c>
      <c r="E220" s="2" t="s">
        <v>1171</v>
      </c>
      <c r="F220" s="2" t="s">
        <v>226</v>
      </c>
      <c r="G220" s="2" t="s">
        <v>227</v>
      </c>
      <c r="H220" s="2" t="s">
        <v>1162</v>
      </c>
      <c r="I220" s="2" t="s">
        <v>1163</v>
      </c>
      <c r="J220" s="2" t="s">
        <v>818</v>
      </c>
      <c r="K220" s="2" t="s">
        <v>700</v>
      </c>
      <c r="L220" s="2" t="s">
        <v>0</v>
      </c>
      <c r="M220" s="2" t="s">
        <v>701</v>
      </c>
      <c r="N220" s="2" t="s">
        <v>12</v>
      </c>
      <c r="O220" s="2" t="s">
        <v>0</v>
      </c>
      <c r="P220" s="2" t="s">
        <v>14</v>
      </c>
      <c r="Q220" s="2" t="s">
        <v>819</v>
      </c>
      <c r="R220" s="2" t="s">
        <v>820</v>
      </c>
      <c r="S220" s="2" t="s">
        <v>17</v>
      </c>
      <c r="T220" s="2" t="s">
        <v>35</v>
      </c>
      <c r="U220" s="2" t="s">
        <v>0</v>
      </c>
    </row>
    <row r="221" spans="1:21">
      <c r="A221" s="2" t="s">
        <v>1172</v>
      </c>
      <c r="B221" s="2" t="s">
        <v>27</v>
      </c>
      <c r="C221" s="2" t="s">
        <v>1173</v>
      </c>
      <c r="D221" s="2" t="s">
        <v>1174</v>
      </c>
      <c r="E221" s="2" t="s">
        <v>1175</v>
      </c>
      <c r="F221" s="2" t="s">
        <v>1176</v>
      </c>
      <c r="G221" s="2" t="s">
        <v>1177</v>
      </c>
      <c r="H221" s="2" t="s">
        <v>1178</v>
      </c>
      <c r="I221" s="2" t="s">
        <v>0</v>
      </c>
      <c r="J221" s="2" t="s">
        <v>0</v>
      </c>
      <c r="K221" s="2" t="s">
        <v>0</v>
      </c>
      <c r="L221" s="2" t="s">
        <v>0</v>
      </c>
      <c r="M221" s="2" t="s">
        <v>701</v>
      </c>
      <c r="N221" s="2" t="s">
        <v>12</v>
      </c>
      <c r="O221" s="2" t="s">
        <v>13</v>
      </c>
      <c r="P221" s="2" t="s">
        <v>149</v>
      </c>
      <c r="Q221" s="2" t="s">
        <v>150</v>
      </c>
      <c r="R221" s="2" t="s">
        <v>151</v>
      </c>
      <c r="S221" s="2" t="s">
        <v>17</v>
      </c>
      <c r="T221" s="2" t="s">
        <v>35</v>
      </c>
      <c r="U221" s="2" t="s">
        <v>1179</v>
      </c>
    </row>
    <row r="222" spans="1:21">
      <c r="A222" s="2" t="s">
        <v>1180</v>
      </c>
      <c r="B222" s="2" t="s">
        <v>27</v>
      </c>
      <c r="C222" s="2" t="s">
        <v>1181</v>
      </c>
      <c r="D222" s="2" t="s">
        <v>1182</v>
      </c>
      <c r="E222" s="2" t="s">
        <v>1183</v>
      </c>
      <c r="F222" s="2" t="s">
        <v>1184</v>
      </c>
      <c r="G222" s="2" t="s">
        <v>1185</v>
      </c>
      <c r="H222" s="2" t="s">
        <v>1186</v>
      </c>
      <c r="I222" s="2" t="s">
        <v>0</v>
      </c>
      <c r="J222" s="2" t="s">
        <v>1187</v>
      </c>
      <c r="K222" s="2" t="s">
        <v>0</v>
      </c>
      <c r="L222" s="2" t="s">
        <v>1097</v>
      </c>
      <c r="M222" s="2" t="s">
        <v>701</v>
      </c>
      <c r="N222" s="2" t="s">
        <v>12</v>
      </c>
      <c r="O222" s="2" t="s">
        <v>13</v>
      </c>
      <c r="P222" s="2" t="s">
        <v>14</v>
      </c>
      <c r="Q222" s="2" t="s">
        <v>15</v>
      </c>
      <c r="R222" s="2" t="s">
        <v>53</v>
      </c>
      <c r="S222" s="2" t="s">
        <v>17</v>
      </c>
      <c r="T222" s="2" t="s">
        <v>35</v>
      </c>
      <c r="U222" s="2" t="s">
        <v>0</v>
      </c>
    </row>
    <row r="223" spans="1:21">
      <c r="A223" s="2" t="s">
        <v>1188</v>
      </c>
      <c r="B223" s="2" t="s">
        <v>3</v>
      </c>
      <c r="C223" s="2" t="s">
        <v>1189</v>
      </c>
      <c r="D223" s="2" t="s">
        <v>1190</v>
      </c>
      <c r="E223" s="2" t="s">
        <v>1191</v>
      </c>
      <c r="F223" s="2" t="s">
        <v>1106</v>
      </c>
      <c r="G223" s="2" t="s">
        <v>1107</v>
      </c>
      <c r="H223" s="2" t="s">
        <v>1186</v>
      </c>
      <c r="I223" s="2" t="s">
        <v>0</v>
      </c>
      <c r="J223" s="2" t="s">
        <v>1187</v>
      </c>
      <c r="K223" s="2" t="s">
        <v>0</v>
      </c>
      <c r="L223" s="2" t="s">
        <v>1097</v>
      </c>
      <c r="M223" s="2" t="s">
        <v>701</v>
      </c>
      <c r="N223" s="2" t="s">
        <v>12</v>
      </c>
      <c r="O223" s="2" t="s">
        <v>13</v>
      </c>
      <c r="P223" s="2" t="s">
        <v>14</v>
      </c>
      <c r="Q223" s="2" t="s">
        <v>15</v>
      </c>
      <c r="R223" s="2" t="s">
        <v>16</v>
      </c>
      <c r="S223" s="2" t="s">
        <v>17</v>
      </c>
      <c r="T223" s="2" t="s">
        <v>18</v>
      </c>
      <c r="U223" s="2" t="s">
        <v>0</v>
      </c>
    </row>
    <row r="224" spans="1:21">
      <c r="A224" s="2" t="s">
        <v>1192</v>
      </c>
      <c r="B224" s="2" t="s">
        <v>3</v>
      </c>
      <c r="C224" s="2" t="s">
        <v>1193</v>
      </c>
      <c r="D224" s="2" t="s">
        <v>1194</v>
      </c>
      <c r="E224" s="2" t="s">
        <v>1195</v>
      </c>
      <c r="F224" s="2" t="s">
        <v>226</v>
      </c>
      <c r="G224" s="2" t="s">
        <v>227</v>
      </c>
      <c r="H224" s="2" t="s">
        <v>1186</v>
      </c>
      <c r="I224" s="2" t="s">
        <v>0</v>
      </c>
      <c r="J224" s="2" t="s">
        <v>1187</v>
      </c>
      <c r="K224" s="2" t="s">
        <v>0</v>
      </c>
      <c r="L224" s="2" t="s">
        <v>1097</v>
      </c>
      <c r="M224" s="2" t="s">
        <v>701</v>
      </c>
      <c r="N224" s="2" t="s">
        <v>12</v>
      </c>
      <c r="O224" s="2" t="s">
        <v>13</v>
      </c>
      <c r="P224" s="2" t="s">
        <v>14</v>
      </c>
      <c r="Q224" s="2" t="s">
        <v>15</v>
      </c>
      <c r="R224" s="2" t="s">
        <v>16</v>
      </c>
      <c r="S224" s="2" t="s">
        <v>17</v>
      </c>
      <c r="T224" s="2" t="s">
        <v>18</v>
      </c>
      <c r="U224" s="2" t="s">
        <v>0</v>
      </c>
    </row>
    <row r="225" spans="1:21">
      <c r="A225" s="2" t="s">
        <v>1196</v>
      </c>
      <c r="B225" s="2" t="s">
        <v>27</v>
      </c>
      <c r="C225" s="2" t="s">
        <v>1197</v>
      </c>
      <c r="D225" s="2" t="s">
        <v>1198</v>
      </c>
      <c r="E225" s="2" t="s">
        <v>1199</v>
      </c>
      <c r="F225" s="2" t="s">
        <v>226</v>
      </c>
      <c r="G225" s="2" t="s">
        <v>227</v>
      </c>
      <c r="H225" s="2" t="s">
        <v>1186</v>
      </c>
      <c r="I225" s="2" t="s">
        <v>0</v>
      </c>
      <c r="J225" s="2" t="s">
        <v>1187</v>
      </c>
      <c r="K225" s="2" t="s">
        <v>0</v>
      </c>
      <c r="L225" s="2" t="s">
        <v>1097</v>
      </c>
      <c r="M225" s="2" t="s">
        <v>701</v>
      </c>
      <c r="N225" s="2" t="s">
        <v>12</v>
      </c>
      <c r="O225" s="2" t="s">
        <v>13</v>
      </c>
      <c r="P225" s="2" t="s">
        <v>14</v>
      </c>
      <c r="Q225" s="2" t="s">
        <v>15</v>
      </c>
      <c r="R225" s="2" t="s">
        <v>16</v>
      </c>
      <c r="S225" s="2" t="s">
        <v>17</v>
      </c>
      <c r="T225" s="2" t="s">
        <v>35</v>
      </c>
      <c r="U225" s="2" t="s">
        <v>0</v>
      </c>
    </row>
    <row r="226" spans="1:21">
      <c r="A226" s="2" t="s">
        <v>1200</v>
      </c>
      <c r="B226" s="2" t="s">
        <v>27</v>
      </c>
      <c r="C226" s="2" t="s">
        <v>1201</v>
      </c>
      <c r="D226" s="2" t="s">
        <v>1202</v>
      </c>
      <c r="E226" s="2" t="s">
        <v>1203</v>
      </c>
      <c r="F226" s="2" t="s">
        <v>1204</v>
      </c>
      <c r="G226" s="2" t="s">
        <v>1205</v>
      </c>
      <c r="H226" s="2" t="s">
        <v>1206</v>
      </c>
      <c r="I226" s="2" t="s">
        <v>1207</v>
      </c>
      <c r="J226" s="2" t="s">
        <v>1208</v>
      </c>
      <c r="K226" s="2" t="s">
        <v>700</v>
      </c>
      <c r="L226" s="2" t="s">
        <v>0</v>
      </c>
      <c r="M226" s="2" t="s">
        <v>701</v>
      </c>
      <c r="N226" s="2" t="s">
        <v>12</v>
      </c>
      <c r="O226" s="2" t="s">
        <v>0</v>
      </c>
      <c r="P226" s="2" t="s">
        <v>14</v>
      </c>
      <c r="Q226" s="2" t="s">
        <v>15</v>
      </c>
      <c r="R226" s="2" t="s">
        <v>16</v>
      </c>
      <c r="S226" s="2" t="s">
        <v>17</v>
      </c>
      <c r="T226" s="2" t="s">
        <v>35</v>
      </c>
      <c r="U226" s="2" t="s">
        <v>0</v>
      </c>
    </row>
    <row r="227" spans="1:21">
      <c r="A227" s="2" t="s">
        <v>1209</v>
      </c>
      <c r="B227" s="2" t="s">
        <v>3</v>
      </c>
      <c r="C227" s="2" t="s">
        <v>1210</v>
      </c>
      <c r="D227" s="2" t="s">
        <v>1211</v>
      </c>
      <c r="E227" s="2" t="s">
        <v>1212</v>
      </c>
      <c r="F227" s="2" t="s">
        <v>226</v>
      </c>
      <c r="G227" s="2" t="s">
        <v>227</v>
      </c>
      <c r="H227" s="2" t="s">
        <v>1206</v>
      </c>
      <c r="I227" s="2" t="s">
        <v>1207</v>
      </c>
      <c r="J227" s="2" t="s">
        <v>1208</v>
      </c>
      <c r="K227" s="2" t="s">
        <v>700</v>
      </c>
      <c r="L227" s="2" t="s">
        <v>0</v>
      </c>
      <c r="M227" s="2" t="s">
        <v>701</v>
      </c>
      <c r="N227" s="2" t="s">
        <v>12</v>
      </c>
      <c r="O227" s="2" t="s">
        <v>0</v>
      </c>
      <c r="P227" s="2" t="s">
        <v>14</v>
      </c>
      <c r="Q227" s="2" t="s">
        <v>15</v>
      </c>
      <c r="R227" s="2" t="s">
        <v>16</v>
      </c>
      <c r="S227" s="2" t="s">
        <v>17</v>
      </c>
      <c r="T227" s="2" t="s">
        <v>18</v>
      </c>
      <c r="U227" s="2" t="s">
        <v>0</v>
      </c>
    </row>
    <row r="228" spans="1:21">
      <c r="A228" s="2" t="s">
        <v>1213</v>
      </c>
      <c r="B228" s="2" t="s">
        <v>27</v>
      </c>
      <c r="C228" s="2" t="s">
        <v>1214</v>
      </c>
      <c r="D228" s="2" t="s">
        <v>1215</v>
      </c>
      <c r="E228" s="2" t="s">
        <v>1216</v>
      </c>
      <c r="F228" s="2" t="s">
        <v>226</v>
      </c>
      <c r="G228" s="2" t="s">
        <v>227</v>
      </c>
      <c r="H228" s="2" t="s">
        <v>1206</v>
      </c>
      <c r="I228" s="2" t="s">
        <v>1207</v>
      </c>
      <c r="J228" s="2" t="s">
        <v>1208</v>
      </c>
      <c r="K228" s="2" t="s">
        <v>700</v>
      </c>
      <c r="L228" s="2" t="s">
        <v>0</v>
      </c>
      <c r="M228" s="2" t="s">
        <v>701</v>
      </c>
      <c r="N228" s="2" t="s">
        <v>12</v>
      </c>
      <c r="O228" s="2" t="s">
        <v>0</v>
      </c>
      <c r="P228" s="2" t="s">
        <v>14</v>
      </c>
      <c r="Q228" s="2" t="s">
        <v>819</v>
      </c>
      <c r="R228" s="2" t="s">
        <v>16</v>
      </c>
      <c r="S228" s="2" t="s">
        <v>205</v>
      </c>
      <c r="T228" s="2" t="s">
        <v>35</v>
      </c>
      <c r="U228" s="2" t="s">
        <v>0</v>
      </c>
    </row>
    <row r="229" spans="1:21">
      <c r="A229" s="2" t="s">
        <v>1217</v>
      </c>
      <c r="B229" s="2" t="s">
        <v>27</v>
      </c>
      <c r="C229" s="2" t="s">
        <v>1218</v>
      </c>
      <c r="D229" s="2" t="s">
        <v>1219</v>
      </c>
      <c r="E229" s="2" t="s">
        <v>1220</v>
      </c>
      <c r="F229" s="2" t="s">
        <v>226</v>
      </c>
      <c r="G229" s="2" t="s">
        <v>227</v>
      </c>
      <c r="H229" s="2" t="s">
        <v>1221</v>
      </c>
      <c r="I229" s="2" t="s">
        <v>0</v>
      </c>
      <c r="J229" s="2" t="s">
        <v>1222</v>
      </c>
      <c r="K229" s="2" t="s">
        <v>0</v>
      </c>
      <c r="L229" s="2" t="s">
        <v>1097</v>
      </c>
      <c r="M229" s="2" t="s">
        <v>701</v>
      </c>
      <c r="N229" s="2" t="s">
        <v>12</v>
      </c>
      <c r="O229" s="2" t="s">
        <v>13</v>
      </c>
      <c r="P229" s="2" t="s">
        <v>14</v>
      </c>
      <c r="Q229" s="2" t="s">
        <v>0</v>
      </c>
      <c r="R229" s="2" t="s">
        <v>53</v>
      </c>
      <c r="S229" s="2" t="s">
        <v>17</v>
      </c>
      <c r="T229" s="2" t="s">
        <v>35</v>
      </c>
      <c r="U229" s="2" t="s">
        <v>0</v>
      </c>
    </row>
    <row r="230" spans="1:21">
      <c r="A230" s="2" t="s">
        <v>1223</v>
      </c>
      <c r="B230" s="2" t="s">
        <v>27</v>
      </c>
      <c r="C230" s="2" t="s">
        <v>1224</v>
      </c>
      <c r="D230" s="2" t="s">
        <v>1225</v>
      </c>
      <c r="E230" s="2" t="s">
        <v>1226</v>
      </c>
      <c r="F230" s="2" t="s">
        <v>418</v>
      </c>
      <c r="G230" s="2" t="s">
        <v>419</v>
      </c>
      <c r="H230" s="2" t="s">
        <v>1221</v>
      </c>
      <c r="I230" s="2" t="s">
        <v>0</v>
      </c>
      <c r="J230" s="2" t="s">
        <v>1222</v>
      </c>
      <c r="K230" s="2" t="s">
        <v>0</v>
      </c>
      <c r="L230" s="2" t="s">
        <v>1097</v>
      </c>
      <c r="M230" s="2" t="s">
        <v>701</v>
      </c>
      <c r="N230" s="2" t="s">
        <v>12</v>
      </c>
      <c r="O230" s="2" t="s">
        <v>13</v>
      </c>
      <c r="P230" s="2" t="s">
        <v>33</v>
      </c>
      <c r="Q230" s="2" t="s">
        <v>83</v>
      </c>
      <c r="R230" s="2" t="s">
        <v>34</v>
      </c>
      <c r="S230" s="2" t="s">
        <v>84</v>
      </c>
      <c r="T230" s="2" t="s">
        <v>35</v>
      </c>
      <c r="U230" s="2" t="s">
        <v>1227</v>
      </c>
    </row>
    <row r="231" spans="1:21">
      <c r="A231" s="2" t="s">
        <v>1228</v>
      </c>
      <c r="B231" s="2" t="s">
        <v>27</v>
      </c>
      <c r="C231" s="2" t="s">
        <v>1229</v>
      </c>
      <c r="D231" s="2" t="s">
        <v>1230</v>
      </c>
      <c r="E231" s="2" t="s">
        <v>1231</v>
      </c>
      <c r="F231" s="2" t="s">
        <v>226</v>
      </c>
      <c r="G231" s="2" t="s">
        <v>227</v>
      </c>
      <c r="H231" s="2" t="s">
        <v>1221</v>
      </c>
      <c r="I231" s="2" t="s">
        <v>0</v>
      </c>
      <c r="J231" s="2" t="s">
        <v>1222</v>
      </c>
      <c r="K231" s="2" t="s">
        <v>0</v>
      </c>
      <c r="L231" s="2" t="s">
        <v>1097</v>
      </c>
      <c r="M231" s="2" t="s">
        <v>701</v>
      </c>
      <c r="N231" s="2" t="s">
        <v>12</v>
      </c>
      <c r="O231" s="2" t="s">
        <v>13</v>
      </c>
      <c r="P231" s="2" t="s">
        <v>33</v>
      </c>
      <c r="Q231" s="2" t="s">
        <v>83</v>
      </c>
      <c r="R231" s="2" t="s">
        <v>34</v>
      </c>
      <c r="S231" s="2" t="s">
        <v>84</v>
      </c>
      <c r="T231" s="2" t="s">
        <v>35</v>
      </c>
      <c r="U231" s="2" t="s">
        <v>0</v>
      </c>
    </row>
    <row r="232" spans="1:21">
      <c r="A232" s="2" t="s">
        <v>1232</v>
      </c>
      <c r="B232" s="2" t="s">
        <v>27</v>
      </c>
      <c r="C232" s="2" t="s">
        <v>1233</v>
      </c>
      <c r="D232" s="2" t="s">
        <v>1234</v>
      </c>
      <c r="E232" s="2" t="s">
        <v>1235</v>
      </c>
      <c r="F232" s="2" t="s">
        <v>1236</v>
      </c>
      <c r="G232" s="2" t="s">
        <v>1237</v>
      </c>
      <c r="H232" s="2" t="s">
        <v>1221</v>
      </c>
      <c r="I232" s="2" t="s">
        <v>0</v>
      </c>
      <c r="J232" s="2" t="s">
        <v>1222</v>
      </c>
      <c r="K232" s="2" t="s">
        <v>0</v>
      </c>
      <c r="L232" s="2" t="s">
        <v>1097</v>
      </c>
      <c r="M232" s="2" t="s">
        <v>701</v>
      </c>
      <c r="N232" s="2" t="s">
        <v>12</v>
      </c>
      <c r="O232" s="2" t="s">
        <v>13</v>
      </c>
      <c r="P232" s="2" t="s">
        <v>14</v>
      </c>
      <c r="Q232" s="2" t="s">
        <v>15</v>
      </c>
      <c r="R232" s="2" t="s">
        <v>16</v>
      </c>
      <c r="S232" s="2" t="s">
        <v>17</v>
      </c>
      <c r="T232" s="2" t="s">
        <v>35</v>
      </c>
      <c r="U232" s="2" t="s">
        <v>1238</v>
      </c>
    </row>
    <row r="233" spans="1:21">
      <c r="A233" s="2" t="s">
        <v>1239</v>
      </c>
      <c r="B233" s="2" t="s">
        <v>3</v>
      </c>
      <c r="C233" s="2" t="s">
        <v>1240</v>
      </c>
      <c r="D233" s="2" t="s">
        <v>1241</v>
      </c>
      <c r="E233" s="2" t="s">
        <v>1242</v>
      </c>
      <c r="F233" s="2" t="s">
        <v>7</v>
      </c>
      <c r="G233" s="2" t="s">
        <v>8</v>
      </c>
      <c r="H233" s="2" t="s">
        <v>1221</v>
      </c>
      <c r="I233" s="2" t="s">
        <v>0</v>
      </c>
      <c r="J233" s="2" t="s">
        <v>1222</v>
      </c>
      <c r="K233" s="2" t="s">
        <v>0</v>
      </c>
      <c r="L233" s="2" t="s">
        <v>1097</v>
      </c>
      <c r="M233" s="2" t="s">
        <v>701</v>
      </c>
      <c r="N233" s="2" t="s">
        <v>12</v>
      </c>
      <c r="O233" s="2" t="s">
        <v>13</v>
      </c>
      <c r="P233" s="2" t="s">
        <v>14</v>
      </c>
      <c r="Q233" s="2" t="s">
        <v>52</v>
      </c>
      <c r="R233" s="2" t="s">
        <v>53</v>
      </c>
      <c r="S233" s="2" t="s">
        <v>17</v>
      </c>
      <c r="T233" s="2" t="s">
        <v>18</v>
      </c>
      <c r="U233" s="2" t="s">
        <v>0</v>
      </c>
    </row>
    <row r="234" spans="1:21">
      <c r="A234" s="2" t="s">
        <v>1243</v>
      </c>
      <c r="B234" s="2" t="s">
        <v>27</v>
      </c>
      <c r="C234" s="2" t="s">
        <v>1244</v>
      </c>
      <c r="D234" s="2" t="s">
        <v>1245</v>
      </c>
      <c r="E234" s="2" t="s">
        <v>1246</v>
      </c>
      <c r="F234" s="2" t="s">
        <v>1106</v>
      </c>
      <c r="G234" s="2" t="s">
        <v>1107</v>
      </c>
      <c r="H234" s="2" t="s">
        <v>1221</v>
      </c>
      <c r="I234" s="2" t="s">
        <v>0</v>
      </c>
      <c r="J234" s="2" t="s">
        <v>1222</v>
      </c>
      <c r="K234" s="2" t="s">
        <v>0</v>
      </c>
      <c r="L234" s="2" t="s">
        <v>1097</v>
      </c>
      <c r="M234" s="2" t="s">
        <v>701</v>
      </c>
      <c r="N234" s="2" t="s">
        <v>12</v>
      </c>
      <c r="O234" s="2" t="s">
        <v>13</v>
      </c>
      <c r="P234" s="2" t="s">
        <v>14</v>
      </c>
      <c r="Q234" s="2" t="s">
        <v>52</v>
      </c>
      <c r="R234" s="2" t="s">
        <v>53</v>
      </c>
      <c r="S234" s="2" t="s">
        <v>17</v>
      </c>
      <c r="T234" s="2" t="s">
        <v>35</v>
      </c>
      <c r="U234" s="2" t="s">
        <v>1247</v>
      </c>
    </row>
    <row r="235" spans="1:21">
      <c r="A235" s="2" t="s">
        <v>1248</v>
      </c>
      <c r="B235" s="2" t="s">
        <v>3</v>
      </c>
      <c r="C235" s="2" t="s">
        <v>1249</v>
      </c>
      <c r="D235" s="2" t="s">
        <v>1250</v>
      </c>
      <c r="E235" s="2" t="s">
        <v>1251</v>
      </c>
      <c r="F235" s="2" t="s">
        <v>1252</v>
      </c>
      <c r="G235" s="2" t="s">
        <v>1253</v>
      </c>
      <c r="H235" s="2" t="s">
        <v>1221</v>
      </c>
      <c r="I235" s="2" t="s">
        <v>0</v>
      </c>
      <c r="J235" s="2" t="s">
        <v>1222</v>
      </c>
      <c r="K235" s="2" t="s">
        <v>0</v>
      </c>
      <c r="L235" s="2" t="s">
        <v>1097</v>
      </c>
      <c r="M235" s="2" t="s">
        <v>701</v>
      </c>
      <c r="N235" s="2" t="s">
        <v>12</v>
      </c>
      <c r="O235" s="2" t="s">
        <v>13</v>
      </c>
      <c r="P235" s="2" t="s">
        <v>14</v>
      </c>
      <c r="Q235" s="2" t="s">
        <v>52</v>
      </c>
      <c r="R235" s="2" t="s">
        <v>53</v>
      </c>
      <c r="S235" s="2" t="s">
        <v>17</v>
      </c>
      <c r="T235" s="2" t="s">
        <v>18</v>
      </c>
      <c r="U235" s="2" t="s">
        <v>1254</v>
      </c>
    </row>
    <row r="236" spans="1:21">
      <c r="A236" s="2" t="s">
        <v>1255</v>
      </c>
      <c r="B236" s="2" t="s">
        <v>27</v>
      </c>
      <c r="C236" s="2" t="s">
        <v>1256</v>
      </c>
      <c r="D236" s="2" t="s">
        <v>1257</v>
      </c>
      <c r="E236" s="2" t="s">
        <v>1258</v>
      </c>
      <c r="F236" s="2" t="s">
        <v>1106</v>
      </c>
      <c r="G236" s="2" t="s">
        <v>1107</v>
      </c>
      <c r="H236" s="2" t="s">
        <v>1221</v>
      </c>
      <c r="I236" s="2" t="s">
        <v>0</v>
      </c>
      <c r="J236" s="2" t="s">
        <v>1222</v>
      </c>
      <c r="K236" s="2" t="s">
        <v>0</v>
      </c>
      <c r="L236" s="2" t="s">
        <v>1097</v>
      </c>
      <c r="M236" s="2" t="s">
        <v>701</v>
      </c>
      <c r="N236" s="2" t="s">
        <v>12</v>
      </c>
      <c r="O236" s="2" t="s">
        <v>13</v>
      </c>
      <c r="P236" s="2" t="s">
        <v>14</v>
      </c>
      <c r="Q236" s="2" t="s">
        <v>52</v>
      </c>
      <c r="R236" s="2" t="s">
        <v>53</v>
      </c>
      <c r="S236" s="2" t="s">
        <v>17</v>
      </c>
      <c r="T236" s="2" t="s">
        <v>35</v>
      </c>
      <c r="U236" s="2" t="s">
        <v>1259</v>
      </c>
    </row>
    <row r="237" spans="1:21">
      <c r="A237" s="2" t="s">
        <v>1260</v>
      </c>
      <c r="B237" s="2" t="s">
        <v>3</v>
      </c>
      <c r="C237" s="2" t="s">
        <v>1261</v>
      </c>
      <c r="D237" s="2" t="s">
        <v>1262</v>
      </c>
      <c r="E237" s="2" t="s">
        <v>1263</v>
      </c>
      <c r="F237" s="2" t="s">
        <v>1106</v>
      </c>
      <c r="G237" s="2" t="s">
        <v>1107</v>
      </c>
      <c r="H237" s="2" t="s">
        <v>1221</v>
      </c>
      <c r="I237" s="2" t="s">
        <v>0</v>
      </c>
      <c r="J237" s="2" t="s">
        <v>1222</v>
      </c>
      <c r="K237" s="2" t="s">
        <v>0</v>
      </c>
      <c r="L237" s="2" t="s">
        <v>1097</v>
      </c>
      <c r="M237" s="2" t="s">
        <v>701</v>
      </c>
      <c r="N237" s="2" t="s">
        <v>12</v>
      </c>
      <c r="O237" s="2" t="s">
        <v>13</v>
      </c>
      <c r="P237" s="2" t="s">
        <v>14</v>
      </c>
      <c r="Q237" s="2" t="s">
        <v>52</v>
      </c>
      <c r="R237" s="2" t="s">
        <v>53</v>
      </c>
      <c r="S237" s="2" t="s">
        <v>17</v>
      </c>
      <c r="T237" s="2" t="s">
        <v>18</v>
      </c>
      <c r="U237" s="2" t="s">
        <v>0</v>
      </c>
    </row>
    <row r="238" spans="1:21">
      <c r="A238" s="2" t="s">
        <v>1264</v>
      </c>
      <c r="B238" s="2" t="s">
        <v>46</v>
      </c>
      <c r="C238" s="2" t="s">
        <v>1265</v>
      </c>
      <c r="D238" s="2" t="s">
        <v>1266</v>
      </c>
      <c r="E238" s="2" t="s">
        <v>1267</v>
      </c>
      <c r="F238" s="2" t="s">
        <v>1236</v>
      </c>
      <c r="G238" s="2" t="s">
        <v>1237</v>
      </c>
      <c r="H238" s="2" t="s">
        <v>1221</v>
      </c>
      <c r="I238" s="2" t="s">
        <v>0</v>
      </c>
      <c r="J238" s="2" t="s">
        <v>1222</v>
      </c>
      <c r="K238" s="2" t="s">
        <v>0</v>
      </c>
      <c r="L238" s="2" t="s">
        <v>1097</v>
      </c>
      <c r="M238" s="2" t="s">
        <v>701</v>
      </c>
      <c r="N238" s="2" t="s">
        <v>12</v>
      </c>
      <c r="O238" s="2" t="s">
        <v>13</v>
      </c>
      <c r="P238" s="2" t="s">
        <v>14</v>
      </c>
      <c r="Q238" s="2" t="s">
        <v>52</v>
      </c>
      <c r="R238" s="2" t="s">
        <v>53</v>
      </c>
      <c r="S238" s="2" t="s">
        <v>17</v>
      </c>
      <c r="T238" s="2" t="s">
        <v>18</v>
      </c>
      <c r="U238" s="2" t="s">
        <v>0</v>
      </c>
    </row>
    <row r="239" spans="1:21">
      <c r="A239" s="2" t="s">
        <v>1268</v>
      </c>
      <c r="B239" s="2" t="s">
        <v>27</v>
      </c>
      <c r="C239" s="2" t="s">
        <v>1269</v>
      </c>
      <c r="D239" s="2" t="s">
        <v>1270</v>
      </c>
      <c r="E239" s="2" t="s">
        <v>1271</v>
      </c>
      <c r="F239" s="2" t="s">
        <v>226</v>
      </c>
      <c r="G239" s="2" t="s">
        <v>227</v>
      </c>
      <c r="H239" s="2" t="s">
        <v>1221</v>
      </c>
      <c r="I239" s="2" t="s">
        <v>0</v>
      </c>
      <c r="J239" s="2" t="s">
        <v>1222</v>
      </c>
      <c r="K239" s="2" t="s">
        <v>0</v>
      </c>
      <c r="L239" s="2" t="s">
        <v>1097</v>
      </c>
      <c r="M239" s="2" t="s">
        <v>701</v>
      </c>
      <c r="N239" s="2" t="s">
        <v>12</v>
      </c>
      <c r="O239" s="2" t="s">
        <v>13</v>
      </c>
      <c r="P239" s="2" t="s">
        <v>14</v>
      </c>
      <c r="Q239" s="2" t="s">
        <v>52</v>
      </c>
      <c r="R239" s="2" t="s">
        <v>53</v>
      </c>
      <c r="S239" s="2" t="s">
        <v>17</v>
      </c>
      <c r="T239" s="2" t="s">
        <v>35</v>
      </c>
      <c r="U239" s="2" t="s">
        <v>1272</v>
      </c>
    </row>
    <row r="240" spans="1:21">
      <c r="A240" s="2" t="s">
        <v>1273</v>
      </c>
      <c r="B240" s="2" t="s">
        <v>27</v>
      </c>
      <c r="C240" s="2" t="s">
        <v>1274</v>
      </c>
      <c r="D240" s="2" t="s">
        <v>1275</v>
      </c>
      <c r="E240" s="2" t="s">
        <v>1276</v>
      </c>
      <c r="F240" s="2" t="s">
        <v>226</v>
      </c>
      <c r="G240" s="2" t="s">
        <v>227</v>
      </c>
      <c r="H240" s="2" t="s">
        <v>1221</v>
      </c>
      <c r="I240" s="2" t="s">
        <v>0</v>
      </c>
      <c r="J240" s="2" t="s">
        <v>1222</v>
      </c>
      <c r="K240" s="2" t="s">
        <v>0</v>
      </c>
      <c r="L240" s="2" t="s">
        <v>1097</v>
      </c>
      <c r="M240" s="2" t="s">
        <v>701</v>
      </c>
      <c r="N240" s="2" t="s">
        <v>12</v>
      </c>
      <c r="O240" s="2" t="s">
        <v>13</v>
      </c>
      <c r="P240" s="2" t="s">
        <v>14</v>
      </c>
      <c r="Q240" s="2" t="s">
        <v>52</v>
      </c>
      <c r="R240" s="2" t="s">
        <v>53</v>
      </c>
      <c r="S240" s="2" t="s">
        <v>17</v>
      </c>
      <c r="T240" s="2" t="s">
        <v>35</v>
      </c>
      <c r="U240" s="2" t="s">
        <v>0</v>
      </c>
    </row>
    <row r="241" spans="1:21">
      <c r="A241" s="2" t="s">
        <v>1277</v>
      </c>
      <c r="B241" s="2" t="s">
        <v>27</v>
      </c>
      <c r="C241" s="2" t="s">
        <v>1278</v>
      </c>
      <c r="D241" s="2" t="s">
        <v>1279</v>
      </c>
      <c r="E241" s="2" t="s">
        <v>1280</v>
      </c>
      <c r="F241" s="2" t="s">
        <v>226</v>
      </c>
      <c r="G241" s="2" t="s">
        <v>227</v>
      </c>
      <c r="H241" s="2" t="s">
        <v>1221</v>
      </c>
      <c r="I241" s="2" t="s">
        <v>0</v>
      </c>
      <c r="J241" s="2" t="s">
        <v>1222</v>
      </c>
      <c r="K241" s="2" t="s">
        <v>0</v>
      </c>
      <c r="L241" s="2" t="s">
        <v>1097</v>
      </c>
      <c r="M241" s="2" t="s">
        <v>701</v>
      </c>
      <c r="N241" s="2" t="s">
        <v>12</v>
      </c>
      <c r="O241" s="2" t="s">
        <v>13</v>
      </c>
      <c r="P241" s="2" t="s">
        <v>14</v>
      </c>
      <c r="Q241" s="2" t="s">
        <v>52</v>
      </c>
      <c r="R241" s="2" t="s">
        <v>53</v>
      </c>
      <c r="S241" s="2" t="s">
        <v>205</v>
      </c>
      <c r="T241" s="2" t="s">
        <v>35</v>
      </c>
      <c r="U241" s="2" t="s">
        <v>0</v>
      </c>
    </row>
    <row r="242" spans="1:21">
      <c r="A242" s="2" t="s">
        <v>1281</v>
      </c>
      <c r="B242" s="2" t="s">
        <v>27</v>
      </c>
      <c r="C242" s="2" t="s">
        <v>1282</v>
      </c>
      <c r="D242" s="2" t="s">
        <v>1283</v>
      </c>
      <c r="E242" s="2" t="s">
        <v>1284</v>
      </c>
      <c r="F242" s="2" t="s">
        <v>927</v>
      </c>
      <c r="G242" s="2" t="s">
        <v>928</v>
      </c>
      <c r="H242" s="2" t="s">
        <v>1285</v>
      </c>
      <c r="I242" s="2" t="s">
        <v>1286</v>
      </c>
      <c r="J242" s="2" t="s">
        <v>770</v>
      </c>
      <c r="K242" s="2" t="s">
        <v>700</v>
      </c>
      <c r="L242" s="2" t="s">
        <v>0</v>
      </c>
      <c r="M242" s="2" t="s">
        <v>701</v>
      </c>
      <c r="N242" s="2" t="s">
        <v>12</v>
      </c>
      <c r="O242" s="2" t="s">
        <v>0</v>
      </c>
      <c r="P242" s="2" t="s">
        <v>14</v>
      </c>
      <c r="Q242" s="2" t="s">
        <v>52</v>
      </c>
      <c r="R242" s="2" t="s">
        <v>53</v>
      </c>
      <c r="S242" s="2" t="s">
        <v>17</v>
      </c>
      <c r="T242" s="2" t="s">
        <v>35</v>
      </c>
      <c r="U242" s="2" t="s">
        <v>0</v>
      </c>
    </row>
    <row r="243" spans="1:21">
      <c r="A243" s="2" t="s">
        <v>1287</v>
      </c>
      <c r="B243" s="2" t="s">
        <v>27</v>
      </c>
      <c r="C243" s="2" t="s">
        <v>1288</v>
      </c>
      <c r="D243" s="2" t="s">
        <v>1289</v>
      </c>
      <c r="E243" s="2" t="s">
        <v>1290</v>
      </c>
      <c r="F243" s="2" t="s">
        <v>226</v>
      </c>
      <c r="G243" s="2" t="s">
        <v>227</v>
      </c>
      <c r="H243" s="2" t="s">
        <v>1285</v>
      </c>
      <c r="I243" s="2" t="s">
        <v>1286</v>
      </c>
      <c r="J243" s="2" t="s">
        <v>770</v>
      </c>
      <c r="K243" s="2" t="s">
        <v>700</v>
      </c>
      <c r="L243" s="2" t="s">
        <v>0</v>
      </c>
      <c r="M243" s="2" t="s">
        <v>701</v>
      </c>
      <c r="N243" s="2" t="s">
        <v>12</v>
      </c>
      <c r="O243" s="2" t="s">
        <v>0</v>
      </c>
      <c r="P243" s="2" t="s">
        <v>14</v>
      </c>
      <c r="Q243" s="2" t="s">
        <v>52</v>
      </c>
      <c r="R243" s="2" t="s">
        <v>53</v>
      </c>
      <c r="S243" s="2" t="s">
        <v>17</v>
      </c>
      <c r="T243" s="2" t="s">
        <v>35</v>
      </c>
      <c r="U243" s="2" t="s">
        <v>0</v>
      </c>
    </row>
    <row r="244" spans="1:21">
      <c r="A244" s="2" t="s">
        <v>1291</v>
      </c>
      <c r="B244" s="2" t="s">
        <v>27</v>
      </c>
      <c r="C244" s="2" t="s">
        <v>659</v>
      </c>
      <c r="D244" s="2" t="s">
        <v>1292</v>
      </c>
      <c r="E244" s="2" t="s">
        <v>1293</v>
      </c>
      <c r="F244" s="2" t="s">
        <v>920</v>
      </c>
      <c r="G244" s="2" t="s">
        <v>921</v>
      </c>
      <c r="H244" s="2" t="s">
        <v>1285</v>
      </c>
      <c r="I244" s="2" t="s">
        <v>1286</v>
      </c>
      <c r="J244" s="2" t="s">
        <v>770</v>
      </c>
      <c r="K244" s="2" t="s">
        <v>700</v>
      </c>
      <c r="L244" s="2" t="s">
        <v>0</v>
      </c>
      <c r="M244" s="2" t="s">
        <v>701</v>
      </c>
      <c r="N244" s="2" t="s">
        <v>12</v>
      </c>
      <c r="O244" s="2" t="s">
        <v>0</v>
      </c>
      <c r="P244" s="2" t="s">
        <v>14</v>
      </c>
      <c r="Q244" s="2" t="s">
        <v>52</v>
      </c>
      <c r="R244" s="2" t="s">
        <v>53</v>
      </c>
      <c r="S244" s="2" t="s">
        <v>17</v>
      </c>
      <c r="T244" s="2" t="s">
        <v>35</v>
      </c>
      <c r="U244" s="2" t="s">
        <v>1294</v>
      </c>
    </row>
    <row r="245" spans="1:21">
      <c r="A245" s="2" t="s">
        <v>1295</v>
      </c>
      <c r="B245" s="2" t="s">
        <v>27</v>
      </c>
      <c r="C245" s="2" t="s">
        <v>1296</v>
      </c>
      <c r="D245" s="2" t="s">
        <v>1297</v>
      </c>
      <c r="E245" s="2" t="s">
        <v>1298</v>
      </c>
      <c r="F245" s="2" t="s">
        <v>832</v>
      </c>
      <c r="G245" s="2" t="s">
        <v>833</v>
      </c>
      <c r="H245" s="2" t="s">
        <v>1299</v>
      </c>
      <c r="I245" s="2" t="s">
        <v>1300</v>
      </c>
      <c r="J245" s="2" t="s">
        <v>1005</v>
      </c>
      <c r="K245" s="2" t="s">
        <v>0</v>
      </c>
      <c r="L245" s="2" t="s">
        <v>837</v>
      </c>
      <c r="M245" s="2" t="s">
        <v>701</v>
      </c>
      <c r="N245" s="2" t="s">
        <v>12</v>
      </c>
      <c r="O245" s="2" t="s">
        <v>0</v>
      </c>
      <c r="P245" s="2" t="s">
        <v>149</v>
      </c>
      <c r="Q245" s="2" t="s">
        <v>150</v>
      </c>
      <c r="R245" s="2" t="s">
        <v>151</v>
      </c>
      <c r="S245" s="2" t="s">
        <v>17</v>
      </c>
      <c r="T245" s="2" t="s">
        <v>35</v>
      </c>
      <c r="U245" s="2" t="s">
        <v>1301</v>
      </c>
    </row>
    <row r="246" spans="1:21">
      <c r="A246" s="2" t="s">
        <v>1302</v>
      </c>
      <c r="B246" s="2" t="s">
        <v>27</v>
      </c>
      <c r="C246" s="2" t="s">
        <v>1303</v>
      </c>
      <c r="D246" s="2" t="s">
        <v>1304</v>
      </c>
      <c r="E246" s="2" t="s">
        <v>1305</v>
      </c>
      <c r="F246" s="2" t="s">
        <v>226</v>
      </c>
      <c r="G246" s="2" t="s">
        <v>227</v>
      </c>
      <c r="H246" s="2" t="s">
        <v>1299</v>
      </c>
      <c r="I246" s="2" t="s">
        <v>1300</v>
      </c>
      <c r="J246" s="2" t="s">
        <v>1005</v>
      </c>
      <c r="K246" s="2" t="s">
        <v>0</v>
      </c>
      <c r="L246" s="2" t="s">
        <v>837</v>
      </c>
      <c r="M246" s="2" t="s">
        <v>701</v>
      </c>
      <c r="N246" s="2" t="s">
        <v>12</v>
      </c>
      <c r="O246" s="2" t="s">
        <v>0</v>
      </c>
      <c r="P246" s="2" t="s">
        <v>149</v>
      </c>
      <c r="Q246" s="2" t="s">
        <v>150</v>
      </c>
      <c r="R246" s="2" t="s">
        <v>151</v>
      </c>
      <c r="S246" s="2" t="s">
        <v>17</v>
      </c>
      <c r="T246" s="2" t="s">
        <v>35</v>
      </c>
      <c r="U246" s="2" t="s">
        <v>0</v>
      </c>
    </row>
    <row r="247" spans="1:21">
      <c r="A247" s="2" t="s">
        <v>1306</v>
      </c>
      <c r="B247" s="2" t="s">
        <v>27</v>
      </c>
      <c r="C247" s="2" t="s">
        <v>988</v>
      </c>
      <c r="D247" s="2" t="s">
        <v>1307</v>
      </c>
      <c r="E247" s="2" t="s">
        <v>1308</v>
      </c>
      <c r="F247" s="2" t="s">
        <v>226</v>
      </c>
      <c r="G247" s="2" t="s">
        <v>227</v>
      </c>
      <c r="H247" s="2" t="s">
        <v>1299</v>
      </c>
      <c r="I247" s="2" t="s">
        <v>1300</v>
      </c>
      <c r="J247" s="2" t="s">
        <v>1005</v>
      </c>
      <c r="K247" s="2" t="s">
        <v>0</v>
      </c>
      <c r="L247" s="2" t="s">
        <v>837</v>
      </c>
      <c r="M247" s="2" t="s">
        <v>701</v>
      </c>
      <c r="N247" s="2" t="s">
        <v>12</v>
      </c>
      <c r="O247" s="2" t="s">
        <v>0</v>
      </c>
      <c r="P247" s="2" t="s">
        <v>149</v>
      </c>
      <c r="Q247" s="2" t="s">
        <v>150</v>
      </c>
      <c r="R247" s="2" t="s">
        <v>151</v>
      </c>
      <c r="S247" s="2" t="s">
        <v>17</v>
      </c>
      <c r="T247" s="2" t="s">
        <v>35</v>
      </c>
      <c r="U247" s="2" t="s">
        <v>0</v>
      </c>
    </row>
    <row r="248" spans="1:21">
      <c r="A248" s="2" t="s">
        <v>1309</v>
      </c>
      <c r="B248" s="2" t="s">
        <v>27</v>
      </c>
      <c r="C248" s="2" t="s">
        <v>1310</v>
      </c>
      <c r="D248" s="2" t="s">
        <v>1311</v>
      </c>
      <c r="E248" s="2" t="s">
        <v>1312</v>
      </c>
      <c r="F248" s="2" t="s">
        <v>226</v>
      </c>
      <c r="G248" s="2" t="s">
        <v>227</v>
      </c>
      <c r="H248" s="2" t="s">
        <v>1299</v>
      </c>
      <c r="I248" s="2" t="s">
        <v>1300</v>
      </c>
      <c r="J248" s="2" t="s">
        <v>1005</v>
      </c>
      <c r="K248" s="2" t="s">
        <v>0</v>
      </c>
      <c r="L248" s="2" t="s">
        <v>837</v>
      </c>
      <c r="M248" s="2" t="s">
        <v>701</v>
      </c>
      <c r="N248" s="2" t="s">
        <v>12</v>
      </c>
      <c r="O248" s="2" t="s">
        <v>0</v>
      </c>
      <c r="P248" s="2" t="s">
        <v>149</v>
      </c>
      <c r="Q248" s="2" t="s">
        <v>1018</v>
      </c>
      <c r="R248" s="2" t="s">
        <v>1019</v>
      </c>
      <c r="S248" s="2" t="s">
        <v>17</v>
      </c>
      <c r="T248" s="2" t="s">
        <v>35</v>
      </c>
      <c r="U248" s="2" t="s">
        <v>1313</v>
      </c>
    </row>
    <row r="249" spans="1:21">
      <c r="A249" s="2" t="s">
        <v>1314</v>
      </c>
      <c r="B249" s="2" t="s">
        <v>27</v>
      </c>
      <c r="C249" s="2" t="s">
        <v>1315</v>
      </c>
      <c r="D249" s="2" t="s">
        <v>1316</v>
      </c>
      <c r="E249" s="2" t="s">
        <v>1317</v>
      </c>
      <c r="F249" s="2" t="s">
        <v>1318</v>
      </c>
      <c r="G249" s="2" t="s">
        <v>1319</v>
      </c>
      <c r="H249" s="2" t="s">
        <v>1320</v>
      </c>
      <c r="I249" s="2" t="s">
        <v>0</v>
      </c>
      <c r="J249" s="2" t="s">
        <v>1321</v>
      </c>
      <c r="K249" s="2" t="s">
        <v>0</v>
      </c>
      <c r="L249" s="2" t="s">
        <v>1083</v>
      </c>
      <c r="M249" s="2" t="s">
        <v>701</v>
      </c>
      <c r="N249" s="2" t="s">
        <v>12</v>
      </c>
      <c r="O249" s="2" t="s">
        <v>13</v>
      </c>
      <c r="P249" s="2" t="s">
        <v>14</v>
      </c>
      <c r="Q249" s="2" t="s">
        <v>52</v>
      </c>
      <c r="R249" s="2" t="s">
        <v>53</v>
      </c>
      <c r="S249" s="2" t="s">
        <v>17</v>
      </c>
      <c r="T249" s="2" t="s">
        <v>35</v>
      </c>
      <c r="U249" s="2" t="s">
        <v>1322</v>
      </c>
    </row>
    <row r="250" spans="1:21">
      <c r="A250" s="2" t="s">
        <v>1323</v>
      </c>
      <c r="B250" s="2" t="s">
        <v>46</v>
      </c>
      <c r="C250" s="2" t="s">
        <v>1324</v>
      </c>
      <c r="D250" s="2" t="s">
        <v>1325</v>
      </c>
      <c r="E250" s="2" t="s">
        <v>1326</v>
      </c>
      <c r="F250" s="2" t="s">
        <v>7</v>
      </c>
      <c r="G250" s="2" t="s">
        <v>8</v>
      </c>
      <c r="H250" s="2" t="s">
        <v>1320</v>
      </c>
      <c r="I250" s="2" t="s">
        <v>0</v>
      </c>
      <c r="J250" s="2" t="s">
        <v>1321</v>
      </c>
      <c r="K250" s="2" t="s">
        <v>0</v>
      </c>
      <c r="L250" s="2" t="s">
        <v>1083</v>
      </c>
      <c r="M250" s="2" t="s">
        <v>701</v>
      </c>
      <c r="N250" s="2" t="s">
        <v>12</v>
      </c>
      <c r="O250" s="2" t="s">
        <v>13</v>
      </c>
      <c r="P250" s="2" t="s">
        <v>14</v>
      </c>
      <c r="Q250" s="2" t="s">
        <v>52</v>
      </c>
      <c r="R250" s="2" t="s">
        <v>53</v>
      </c>
      <c r="S250" s="2" t="s">
        <v>17</v>
      </c>
      <c r="T250" s="2" t="s">
        <v>18</v>
      </c>
      <c r="U250" s="2" t="s">
        <v>0</v>
      </c>
    </row>
    <row r="251" spans="1:21">
      <c r="A251" s="2" t="s">
        <v>1327</v>
      </c>
      <c r="B251" s="2" t="s">
        <v>46</v>
      </c>
      <c r="C251" s="2" t="s">
        <v>1328</v>
      </c>
      <c r="D251" s="2" t="s">
        <v>1329</v>
      </c>
      <c r="E251" s="2" t="s">
        <v>1330</v>
      </c>
      <c r="F251" s="2" t="s">
        <v>1331</v>
      </c>
      <c r="G251" s="2" t="s">
        <v>1332</v>
      </c>
      <c r="H251" s="2" t="s">
        <v>1320</v>
      </c>
      <c r="I251" s="2" t="s">
        <v>0</v>
      </c>
      <c r="J251" s="2" t="s">
        <v>1321</v>
      </c>
      <c r="K251" s="2" t="s">
        <v>0</v>
      </c>
      <c r="L251" s="2" t="s">
        <v>1083</v>
      </c>
      <c r="M251" s="2" t="s">
        <v>701</v>
      </c>
      <c r="N251" s="2" t="s">
        <v>12</v>
      </c>
      <c r="O251" s="2" t="s">
        <v>13</v>
      </c>
      <c r="P251" s="2" t="s">
        <v>14</v>
      </c>
      <c r="Q251" s="2" t="s">
        <v>52</v>
      </c>
      <c r="R251" s="2" t="s">
        <v>53</v>
      </c>
      <c r="S251" s="2" t="s">
        <v>17</v>
      </c>
      <c r="T251" s="2" t="s">
        <v>18</v>
      </c>
      <c r="U251" s="2" t="s">
        <v>1333</v>
      </c>
    </row>
    <row r="252" spans="1:21">
      <c r="A252" s="2" t="s">
        <v>1334</v>
      </c>
      <c r="B252" s="2" t="s">
        <v>3</v>
      </c>
      <c r="C252" s="2" t="s">
        <v>1335</v>
      </c>
      <c r="D252" s="2" t="s">
        <v>1336</v>
      </c>
      <c r="E252" s="2" t="s">
        <v>1337</v>
      </c>
      <c r="F252" s="2" t="s">
        <v>1338</v>
      </c>
      <c r="G252" s="2" t="s">
        <v>1339</v>
      </c>
      <c r="H252" s="2" t="s">
        <v>1320</v>
      </c>
      <c r="I252" s="2" t="s">
        <v>0</v>
      </c>
      <c r="J252" s="2" t="s">
        <v>1321</v>
      </c>
      <c r="K252" s="2" t="s">
        <v>0</v>
      </c>
      <c r="L252" s="2" t="s">
        <v>1083</v>
      </c>
      <c r="M252" s="2" t="s">
        <v>701</v>
      </c>
      <c r="N252" s="2" t="s">
        <v>12</v>
      </c>
      <c r="O252" s="2" t="s">
        <v>13</v>
      </c>
      <c r="P252" s="2" t="s">
        <v>14</v>
      </c>
      <c r="Q252" s="2" t="s">
        <v>52</v>
      </c>
      <c r="R252" s="2" t="s">
        <v>53</v>
      </c>
      <c r="S252" s="2" t="s">
        <v>17</v>
      </c>
      <c r="T252" s="2" t="s">
        <v>18</v>
      </c>
      <c r="U252" s="2" t="s">
        <v>0</v>
      </c>
    </row>
    <row r="253" spans="1:21">
      <c r="A253" s="2" t="s">
        <v>1340</v>
      </c>
      <c r="B253" s="2" t="s">
        <v>27</v>
      </c>
      <c r="C253" s="2" t="s">
        <v>1341</v>
      </c>
      <c r="D253" s="2" t="s">
        <v>1342</v>
      </c>
      <c r="E253" s="2" t="s">
        <v>1343</v>
      </c>
      <c r="F253" s="2" t="s">
        <v>226</v>
      </c>
      <c r="G253" s="2" t="s">
        <v>227</v>
      </c>
      <c r="H253" s="2" t="s">
        <v>1344</v>
      </c>
      <c r="I253" s="2" t="s">
        <v>1345</v>
      </c>
      <c r="J253" s="2" t="s">
        <v>1321</v>
      </c>
      <c r="K253" s="2" t="s">
        <v>0</v>
      </c>
      <c r="L253" s="2" t="s">
        <v>1083</v>
      </c>
      <c r="M253" s="2" t="s">
        <v>701</v>
      </c>
      <c r="N253" s="2" t="s">
        <v>12</v>
      </c>
      <c r="O253" s="2" t="s">
        <v>0</v>
      </c>
      <c r="P253" s="2" t="s">
        <v>14</v>
      </c>
      <c r="Q253" s="2" t="s">
        <v>1346</v>
      </c>
      <c r="R253" s="2" t="s">
        <v>16</v>
      </c>
      <c r="S253" s="2" t="s">
        <v>17</v>
      </c>
      <c r="T253" s="2" t="s">
        <v>35</v>
      </c>
      <c r="U253" s="2" t="s">
        <v>1347</v>
      </c>
    </row>
    <row r="254" spans="1:21">
      <c r="A254" s="2" t="s">
        <v>1348</v>
      </c>
      <c r="B254" s="2" t="s">
        <v>27</v>
      </c>
      <c r="C254" s="2" t="s">
        <v>1349</v>
      </c>
      <c r="D254" s="2" t="s">
        <v>1350</v>
      </c>
      <c r="E254" s="2" t="s">
        <v>1351</v>
      </c>
      <c r="F254" s="2" t="s">
        <v>1352</v>
      </c>
      <c r="G254" s="2" t="s">
        <v>1353</v>
      </c>
      <c r="H254" s="2" t="s">
        <v>1344</v>
      </c>
      <c r="I254" s="2" t="s">
        <v>1345</v>
      </c>
      <c r="J254" s="2" t="s">
        <v>1321</v>
      </c>
      <c r="K254" s="2" t="s">
        <v>0</v>
      </c>
      <c r="L254" s="2" t="s">
        <v>1083</v>
      </c>
      <c r="M254" s="2" t="s">
        <v>701</v>
      </c>
      <c r="N254" s="2" t="s">
        <v>12</v>
      </c>
      <c r="O254" s="2" t="s">
        <v>0</v>
      </c>
      <c r="P254" s="2" t="s">
        <v>14</v>
      </c>
      <c r="Q254" s="2" t="s">
        <v>15</v>
      </c>
      <c r="R254" s="2" t="s">
        <v>16</v>
      </c>
      <c r="S254" s="2" t="s">
        <v>17</v>
      </c>
      <c r="T254" s="2" t="s">
        <v>35</v>
      </c>
      <c r="U254" s="2" t="s">
        <v>1354</v>
      </c>
    </row>
    <row r="255" spans="1:21">
      <c r="A255" s="2" t="s">
        <v>1355</v>
      </c>
      <c r="B255" s="2" t="s">
        <v>27</v>
      </c>
      <c r="C255" s="2" t="s">
        <v>1356</v>
      </c>
      <c r="D255" s="2" t="s">
        <v>1357</v>
      </c>
      <c r="E255" s="2" t="s">
        <v>1358</v>
      </c>
      <c r="F255" s="2" t="s">
        <v>226</v>
      </c>
      <c r="G255" s="2" t="s">
        <v>227</v>
      </c>
      <c r="H255" s="2" t="s">
        <v>1344</v>
      </c>
      <c r="I255" s="2" t="s">
        <v>1345</v>
      </c>
      <c r="J255" s="2" t="s">
        <v>1321</v>
      </c>
      <c r="K255" s="2" t="s">
        <v>0</v>
      </c>
      <c r="L255" s="2" t="s">
        <v>1083</v>
      </c>
      <c r="M255" s="2" t="s">
        <v>701</v>
      </c>
      <c r="N255" s="2" t="s">
        <v>12</v>
      </c>
      <c r="O255" s="2" t="s">
        <v>0</v>
      </c>
      <c r="P255" s="2" t="s">
        <v>14</v>
      </c>
      <c r="Q255" s="2" t="s">
        <v>15</v>
      </c>
      <c r="R255" s="2" t="s">
        <v>16</v>
      </c>
      <c r="S255" s="2" t="s">
        <v>17</v>
      </c>
      <c r="T255" s="2" t="s">
        <v>35</v>
      </c>
      <c r="U255" s="2" t="s">
        <v>0</v>
      </c>
    </row>
    <row r="256" spans="1:21">
      <c r="A256" s="2" t="s">
        <v>1359</v>
      </c>
      <c r="B256" s="2" t="s">
        <v>27</v>
      </c>
      <c r="C256" s="2" t="s">
        <v>1360</v>
      </c>
      <c r="D256" s="2" t="s">
        <v>1361</v>
      </c>
      <c r="E256" s="2" t="s">
        <v>1362</v>
      </c>
      <c r="F256" s="2" t="s">
        <v>1363</v>
      </c>
      <c r="G256" s="2" t="s">
        <v>1364</v>
      </c>
      <c r="H256" s="2" t="s">
        <v>1365</v>
      </c>
      <c r="I256" s="2" t="s">
        <v>0</v>
      </c>
      <c r="J256" s="2" t="s">
        <v>1005</v>
      </c>
      <c r="K256" s="2" t="s">
        <v>0</v>
      </c>
      <c r="L256" s="2" t="s">
        <v>837</v>
      </c>
      <c r="M256" s="2" t="s">
        <v>701</v>
      </c>
      <c r="N256" s="2" t="s">
        <v>12</v>
      </c>
      <c r="O256" s="2" t="s">
        <v>13</v>
      </c>
      <c r="P256" s="2" t="s">
        <v>149</v>
      </c>
      <c r="Q256" s="2" t="s">
        <v>150</v>
      </c>
      <c r="R256" s="2" t="s">
        <v>151</v>
      </c>
      <c r="S256" s="2" t="s">
        <v>17</v>
      </c>
      <c r="T256" s="2" t="s">
        <v>35</v>
      </c>
      <c r="U256" s="2" t="s">
        <v>1366</v>
      </c>
    </row>
    <row r="257" spans="1:21">
      <c r="A257" s="2" t="s">
        <v>1367</v>
      </c>
      <c r="B257" s="2" t="s">
        <v>3</v>
      </c>
      <c r="C257" s="2" t="s">
        <v>1368</v>
      </c>
      <c r="D257" s="2" t="s">
        <v>1369</v>
      </c>
      <c r="E257" s="2" t="s">
        <v>1370</v>
      </c>
      <c r="F257" s="2" t="s">
        <v>7</v>
      </c>
      <c r="G257" s="2" t="s">
        <v>8</v>
      </c>
      <c r="H257" s="2" t="s">
        <v>1365</v>
      </c>
      <c r="I257" s="2" t="s">
        <v>0</v>
      </c>
      <c r="J257" s="2" t="s">
        <v>1005</v>
      </c>
      <c r="K257" s="2" t="s">
        <v>0</v>
      </c>
      <c r="L257" s="2" t="s">
        <v>837</v>
      </c>
      <c r="M257" s="2" t="s">
        <v>701</v>
      </c>
      <c r="N257" s="2" t="s">
        <v>12</v>
      </c>
      <c r="O257" s="2" t="s">
        <v>13</v>
      </c>
      <c r="P257" s="2" t="s">
        <v>149</v>
      </c>
      <c r="Q257" s="2" t="s">
        <v>150</v>
      </c>
      <c r="R257" s="2" t="s">
        <v>151</v>
      </c>
      <c r="S257" s="2" t="s">
        <v>17</v>
      </c>
      <c r="T257" s="2" t="s">
        <v>18</v>
      </c>
      <c r="U257" s="2" t="s">
        <v>0</v>
      </c>
    </row>
    <row r="258" spans="1:21">
      <c r="A258" s="2" t="s">
        <v>1371</v>
      </c>
      <c r="B258" s="2" t="s">
        <v>27</v>
      </c>
      <c r="C258" s="2" t="s">
        <v>1372</v>
      </c>
      <c r="D258" s="2" t="s">
        <v>1373</v>
      </c>
      <c r="E258" s="2" t="s">
        <v>1374</v>
      </c>
      <c r="F258" s="2" t="s">
        <v>1055</v>
      </c>
      <c r="G258" s="2" t="s">
        <v>696</v>
      </c>
      <c r="H258" s="2" t="s">
        <v>1375</v>
      </c>
      <c r="I258" s="2" t="s">
        <v>1376</v>
      </c>
      <c r="J258" s="2" t="s">
        <v>1005</v>
      </c>
      <c r="K258" s="2" t="s">
        <v>0</v>
      </c>
      <c r="L258" s="2" t="s">
        <v>837</v>
      </c>
      <c r="M258" s="2" t="s">
        <v>701</v>
      </c>
      <c r="N258" s="2" t="s">
        <v>12</v>
      </c>
      <c r="O258" s="2" t="s">
        <v>0</v>
      </c>
      <c r="P258" s="2" t="s">
        <v>149</v>
      </c>
      <c r="Q258" s="2" t="s">
        <v>150</v>
      </c>
      <c r="R258" s="2" t="s">
        <v>151</v>
      </c>
      <c r="S258" s="2" t="s">
        <v>17</v>
      </c>
      <c r="T258" s="2" t="s">
        <v>35</v>
      </c>
      <c r="U258" s="2" t="s">
        <v>0</v>
      </c>
    </row>
    <row r="259" spans="1:21">
      <c r="A259" s="2" t="s">
        <v>1377</v>
      </c>
      <c r="B259" s="2" t="s">
        <v>27</v>
      </c>
      <c r="C259" s="2" t="s">
        <v>1378</v>
      </c>
      <c r="D259" s="2" t="s">
        <v>1379</v>
      </c>
      <c r="E259" s="2" t="s">
        <v>1380</v>
      </c>
      <c r="F259" s="2" t="s">
        <v>983</v>
      </c>
      <c r="G259" s="2" t="s">
        <v>715</v>
      </c>
      <c r="H259" s="2" t="s">
        <v>1375</v>
      </c>
      <c r="I259" s="2" t="s">
        <v>1376</v>
      </c>
      <c r="J259" s="2" t="s">
        <v>1005</v>
      </c>
      <c r="K259" s="2" t="s">
        <v>0</v>
      </c>
      <c r="L259" s="2" t="s">
        <v>837</v>
      </c>
      <c r="M259" s="2" t="s">
        <v>701</v>
      </c>
      <c r="N259" s="2" t="s">
        <v>12</v>
      </c>
      <c r="O259" s="2" t="s">
        <v>0</v>
      </c>
      <c r="P259" s="2" t="s">
        <v>149</v>
      </c>
      <c r="Q259" s="2" t="s">
        <v>150</v>
      </c>
      <c r="R259" s="2" t="s">
        <v>151</v>
      </c>
      <c r="S259" s="2" t="s">
        <v>17</v>
      </c>
      <c r="T259" s="2" t="s">
        <v>35</v>
      </c>
      <c r="U259" s="2" t="s">
        <v>1381</v>
      </c>
    </row>
    <row r="260" spans="1:21">
      <c r="A260" s="2" t="s">
        <v>1382</v>
      </c>
      <c r="B260" s="2" t="s">
        <v>27</v>
      </c>
      <c r="C260" s="2" t="s">
        <v>924</v>
      </c>
      <c r="D260" s="2" t="s">
        <v>1383</v>
      </c>
      <c r="E260" s="2" t="s">
        <v>1384</v>
      </c>
      <c r="F260" s="2" t="s">
        <v>226</v>
      </c>
      <c r="G260" s="2" t="s">
        <v>227</v>
      </c>
      <c r="H260" s="2" t="s">
        <v>1375</v>
      </c>
      <c r="I260" s="2" t="s">
        <v>1376</v>
      </c>
      <c r="J260" s="2" t="s">
        <v>1005</v>
      </c>
      <c r="K260" s="2" t="s">
        <v>0</v>
      </c>
      <c r="L260" s="2" t="s">
        <v>837</v>
      </c>
      <c r="M260" s="2" t="s">
        <v>701</v>
      </c>
      <c r="N260" s="2" t="s">
        <v>12</v>
      </c>
      <c r="O260" s="2" t="s">
        <v>0</v>
      </c>
      <c r="P260" s="2" t="s">
        <v>149</v>
      </c>
      <c r="Q260" s="2" t="s">
        <v>1018</v>
      </c>
      <c r="R260" s="2" t="s">
        <v>1019</v>
      </c>
      <c r="S260" s="2" t="s">
        <v>17</v>
      </c>
      <c r="T260" s="2" t="s">
        <v>35</v>
      </c>
      <c r="U260" s="2" t="s">
        <v>1385</v>
      </c>
    </row>
    <row r="261" spans="1:21">
      <c r="A261" s="2" t="s">
        <v>1386</v>
      </c>
      <c r="B261" s="2" t="s">
        <v>27</v>
      </c>
      <c r="C261" s="2" t="s">
        <v>1387</v>
      </c>
      <c r="D261" s="2" t="s">
        <v>1211</v>
      </c>
      <c r="E261" s="2" t="s">
        <v>1388</v>
      </c>
      <c r="F261" s="2" t="s">
        <v>1389</v>
      </c>
      <c r="G261" s="2" t="s">
        <v>1390</v>
      </c>
      <c r="H261" s="2" t="s">
        <v>1391</v>
      </c>
      <c r="I261" s="2" t="s">
        <v>0</v>
      </c>
      <c r="J261" s="2" t="s">
        <v>0</v>
      </c>
      <c r="K261" s="2" t="s">
        <v>700</v>
      </c>
      <c r="L261" s="2" t="s">
        <v>0</v>
      </c>
      <c r="M261" s="2" t="s">
        <v>701</v>
      </c>
      <c r="N261" s="2" t="s">
        <v>12</v>
      </c>
      <c r="O261" s="2" t="s">
        <v>13</v>
      </c>
      <c r="P261" s="2" t="s">
        <v>14</v>
      </c>
      <c r="Q261" s="2" t="s">
        <v>15</v>
      </c>
      <c r="R261" s="2" t="s">
        <v>16</v>
      </c>
      <c r="S261" s="2" t="s">
        <v>17</v>
      </c>
      <c r="T261" s="2" t="s">
        <v>35</v>
      </c>
      <c r="U261" s="2" t="s">
        <v>1392</v>
      </c>
    </row>
    <row r="262" spans="1:21">
      <c r="A262" s="2" t="s">
        <v>1393</v>
      </c>
      <c r="B262" s="2" t="s">
        <v>27</v>
      </c>
      <c r="C262" s="2" t="s">
        <v>1394</v>
      </c>
      <c r="D262" s="2" t="s">
        <v>1395</v>
      </c>
      <c r="E262" s="2" t="s">
        <v>1396</v>
      </c>
      <c r="F262" s="2" t="s">
        <v>1397</v>
      </c>
      <c r="G262" s="2" t="s">
        <v>1398</v>
      </c>
      <c r="H262" s="2" t="s">
        <v>1399</v>
      </c>
      <c r="I262" s="2" t="s">
        <v>0</v>
      </c>
      <c r="J262" s="2" t="s">
        <v>1400</v>
      </c>
      <c r="K262" s="2" t="s">
        <v>0</v>
      </c>
      <c r="L262" s="2" t="s">
        <v>1083</v>
      </c>
      <c r="M262" s="2" t="s">
        <v>701</v>
      </c>
      <c r="N262" s="2" t="s">
        <v>12</v>
      </c>
      <c r="O262" s="2" t="s">
        <v>13</v>
      </c>
      <c r="P262" s="2" t="s">
        <v>14</v>
      </c>
      <c r="Q262" s="2" t="s">
        <v>52</v>
      </c>
      <c r="R262" s="2" t="s">
        <v>747</v>
      </c>
      <c r="S262" s="2" t="s">
        <v>17</v>
      </c>
      <c r="T262" s="2" t="s">
        <v>35</v>
      </c>
      <c r="U262" s="2" t="s">
        <v>1401</v>
      </c>
    </row>
    <row r="263" spans="1:21">
      <c r="A263" s="2" t="s">
        <v>1402</v>
      </c>
      <c r="B263" s="2" t="s">
        <v>27</v>
      </c>
      <c r="C263" s="2" t="s">
        <v>1403</v>
      </c>
      <c r="D263" s="2" t="s">
        <v>1404</v>
      </c>
      <c r="E263" s="2" t="s">
        <v>1405</v>
      </c>
      <c r="F263" s="2" t="s">
        <v>1406</v>
      </c>
      <c r="G263" s="2" t="s">
        <v>1407</v>
      </c>
      <c r="H263" s="2" t="s">
        <v>1408</v>
      </c>
      <c r="I263" s="2" t="s">
        <v>0</v>
      </c>
      <c r="J263" s="2" t="s">
        <v>0</v>
      </c>
      <c r="K263" s="2" t="s">
        <v>0</v>
      </c>
      <c r="L263" s="2" t="s">
        <v>0</v>
      </c>
      <c r="M263" s="2" t="s">
        <v>701</v>
      </c>
      <c r="N263" s="2" t="s">
        <v>12</v>
      </c>
      <c r="O263" s="2" t="s">
        <v>13</v>
      </c>
      <c r="P263" s="2" t="s">
        <v>14</v>
      </c>
      <c r="Q263" s="2" t="s">
        <v>52</v>
      </c>
      <c r="R263" s="2" t="s">
        <v>53</v>
      </c>
      <c r="S263" s="2" t="s">
        <v>17</v>
      </c>
      <c r="T263" s="2" t="s">
        <v>35</v>
      </c>
      <c r="U263" s="2" t="s">
        <v>1409</v>
      </c>
    </row>
    <row r="264" spans="1:21">
      <c r="A264" s="2" t="s">
        <v>1410</v>
      </c>
      <c r="B264" s="2" t="s">
        <v>27</v>
      </c>
      <c r="C264" s="2" t="s">
        <v>1411</v>
      </c>
      <c r="D264" s="2" t="s">
        <v>1412</v>
      </c>
      <c r="E264" s="2" t="s">
        <v>1413</v>
      </c>
      <c r="F264" s="2" t="s">
        <v>226</v>
      </c>
      <c r="G264" s="2" t="s">
        <v>227</v>
      </c>
      <c r="H264" s="2" t="s">
        <v>1414</v>
      </c>
      <c r="I264" s="2" t="s">
        <v>1415</v>
      </c>
      <c r="J264" s="2" t="s">
        <v>770</v>
      </c>
      <c r="K264" s="2" t="s">
        <v>700</v>
      </c>
      <c r="L264" s="2" t="s">
        <v>0</v>
      </c>
      <c r="M264" s="2" t="s">
        <v>701</v>
      </c>
      <c r="N264" s="2" t="s">
        <v>12</v>
      </c>
      <c r="O264" s="2" t="s">
        <v>0</v>
      </c>
      <c r="P264" s="2" t="s">
        <v>14</v>
      </c>
      <c r="Q264" s="2" t="s">
        <v>1416</v>
      </c>
      <c r="R264" s="2" t="s">
        <v>53</v>
      </c>
      <c r="S264" s="2" t="s">
        <v>17</v>
      </c>
      <c r="T264" s="2" t="s">
        <v>35</v>
      </c>
      <c r="U264" s="2" t="s">
        <v>0</v>
      </c>
    </row>
    <row r="265" spans="1:21">
      <c r="A265" s="2" t="s">
        <v>1417</v>
      </c>
      <c r="B265" s="2" t="s">
        <v>27</v>
      </c>
      <c r="C265" s="2" t="s">
        <v>1418</v>
      </c>
      <c r="D265" s="2" t="s">
        <v>1419</v>
      </c>
      <c r="E265" s="2" t="s">
        <v>1420</v>
      </c>
      <c r="F265" s="2" t="s">
        <v>832</v>
      </c>
      <c r="G265" s="2" t="s">
        <v>833</v>
      </c>
      <c r="H265" s="2" t="s">
        <v>1414</v>
      </c>
      <c r="I265" s="2" t="s">
        <v>1415</v>
      </c>
      <c r="J265" s="2" t="s">
        <v>770</v>
      </c>
      <c r="K265" s="2" t="s">
        <v>700</v>
      </c>
      <c r="L265" s="2" t="s">
        <v>0</v>
      </c>
      <c r="M265" s="2" t="s">
        <v>701</v>
      </c>
      <c r="N265" s="2" t="s">
        <v>12</v>
      </c>
      <c r="O265" s="2" t="s">
        <v>0</v>
      </c>
      <c r="P265" s="2" t="s">
        <v>14</v>
      </c>
      <c r="Q265" s="2" t="s">
        <v>52</v>
      </c>
      <c r="R265" s="2" t="s">
        <v>53</v>
      </c>
      <c r="S265" s="2" t="s">
        <v>17</v>
      </c>
      <c r="T265" s="2" t="s">
        <v>35</v>
      </c>
      <c r="U265" s="2" t="s">
        <v>1421</v>
      </c>
    </row>
    <row r="266" spans="1:21">
      <c r="A266" s="2" t="s">
        <v>1422</v>
      </c>
      <c r="B266" s="2" t="s">
        <v>27</v>
      </c>
      <c r="C266" s="2" t="s">
        <v>1423</v>
      </c>
      <c r="D266" s="2" t="s">
        <v>1424</v>
      </c>
      <c r="E266" s="2" t="s">
        <v>1425</v>
      </c>
      <c r="F266" s="2" t="s">
        <v>226</v>
      </c>
      <c r="G266" s="2" t="s">
        <v>227</v>
      </c>
      <c r="H266" s="2" t="s">
        <v>1414</v>
      </c>
      <c r="I266" s="2" t="s">
        <v>1415</v>
      </c>
      <c r="J266" s="2" t="s">
        <v>770</v>
      </c>
      <c r="K266" s="2" t="s">
        <v>700</v>
      </c>
      <c r="L266" s="2" t="s">
        <v>0</v>
      </c>
      <c r="M266" s="2" t="s">
        <v>701</v>
      </c>
      <c r="N266" s="2" t="s">
        <v>12</v>
      </c>
      <c r="O266" s="2" t="s">
        <v>0</v>
      </c>
      <c r="P266" s="2" t="s">
        <v>14</v>
      </c>
      <c r="Q266" s="2" t="s">
        <v>52</v>
      </c>
      <c r="R266" s="2" t="s">
        <v>53</v>
      </c>
      <c r="S266" s="2" t="s">
        <v>17</v>
      </c>
      <c r="T266" s="2" t="s">
        <v>35</v>
      </c>
      <c r="U266" s="2" t="s">
        <v>0</v>
      </c>
    </row>
    <row r="267" spans="1:21">
      <c r="A267" s="2" t="s">
        <v>1426</v>
      </c>
      <c r="B267" s="2" t="s">
        <v>27</v>
      </c>
      <c r="C267" s="2" t="s">
        <v>1256</v>
      </c>
      <c r="D267" s="2" t="s">
        <v>1427</v>
      </c>
      <c r="E267" s="2" t="s">
        <v>1428</v>
      </c>
      <c r="F267" s="2" t="s">
        <v>226</v>
      </c>
      <c r="G267" s="2" t="s">
        <v>227</v>
      </c>
      <c r="H267" s="2" t="s">
        <v>1414</v>
      </c>
      <c r="I267" s="2" t="s">
        <v>1415</v>
      </c>
      <c r="J267" s="2" t="s">
        <v>770</v>
      </c>
      <c r="K267" s="2" t="s">
        <v>700</v>
      </c>
      <c r="L267" s="2" t="s">
        <v>0</v>
      </c>
      <c r="M267" s="2" t="s">
        <v>701</v>
      </c>
      <c r="N267" s="2" t="s">
        <v>12</v>
      </c>
      <c r="O267" s="2" t="s">
        <v>0</v>
      </c>
      <c r="P267" s="2" t="s">
        <v>14</v>
      </c>
      <c r="Q267" s="2" t="s">
        <v>52</v>
      </c>
      <c r="R267" s="2" t="s">
        <v>53</v>
      </c>
      <c r="S267" s="2" t="s">
        <v>17</v>
      </c>
      <c r="T267" s="2" t="s">
        <v>35</v>
      </c>
      <c r="U267" s="2" t="s">
        <v>0</v>
      </c>
    </row>
    <row r="268" spans="1:21">
      <c r="A268" s="2" t="s">
        <v>1429</v>
      </c>
      <c r="B268" s="2" t="s">
        <v>27</v>
      </c>
      <c r="C268" s="2" t="s">
        <v>1430</v>
      </c>
      <c r="D268" s="2" t="s">
        <v>1431</v>
      </c>
      <c r="E268" s="2" t="s">
        <v>1432</v>
      </c>
      <c r="F268" s="2" t="s">
        <v>226</v>
      </c>
      <c r="G268" s="2" t="s">
        <v>227</v>
      </c>
      <c r="H268" s="2" t="s">
        <v>1414</v>
      </c>
      <c r="I268" s="2" t="s">
        <v>1415</v>
      </c>
      <c r="J268" s="2" t="s">
        <v>770</v>
      </c>
      <c r="K268" s="2" t="s">
        <v>700</v>
      </c>
      <c r="L268" s="2" t="s">
        <v>0</v>
      </c>
      <c r="M268" s="2" t="s">
        <v>701</v>
      </c>
      <c r="N268" s="2" t="s">
        <v>12</v>
      </c>
      <c r="O268" s="2" t="s">
        <v>0</v>
      </c>
      <c r="P268" s="2" t="s">
        <v>14</v>
      </c>
      <c r="Q268" s="2" t="s">
        <v>52</v>
      </c>
      <c r="R268" s="2" t="s">
        <v>53</v>
      </c>
      <c r="S268" s="2" t="s">
        <v>17</v>
      </c>
      <c r="T268" s="2" t="s">
        <v>35</v>
      </c>
      <c r="U268" s="2" t="s">
        <v>0</v>
      </c>
    </row>
    <row r="269" spans="1:21">
      <c r="A269" s="2" t="s">
        <v>1433</v>
      </c>
      <c r="B269" s="2" t="s">
        <v>27</v>
      </c>
      <c r="C269" s="2" t="s">
        <v>1434</v>
      </c>
      <c r="D269" s="2" t="s">
        <v>1435</v>
      </c>
      <c r="E269" s="2" t="s">
        <v>1436</v>
      </c>
      <c r="F269" s="2" t="s">
        <v>226</v>
      </c>
      <c r="G269" s="2" t="s">
        <v>227</v>
      </c>
      <c r="H269" s="2" t="s">
        <v>1414</v>
      </c>
      <c r="I269" s="2" t="s">
        <v>1415</v>
      </c>
      <c r="J269" s="2" t="s">
        <v>770</v>
      </c>
      <c r="K269" s="2" t="s">
        <v>700</v>
      </c>
      <c r="L269" s="2" t="s">
        <v>0</v>
      </c>
      <c r="M269" s="2" t="s">
        <v>701</v>
      </c>
      <c r="N269" s="2" t="s">
        <v>12</v>
      </c>
      <c r="O269" s="2" t="s">
        <v>0</v>
      </c>
      <c r="P269" s="2" t="s">
        <v>14</v>
      </c>
      <c r="Q269" s="2" t="s">
        <v>52</v>
      </c>
      <c r="R269" s="2" t="s">
        <v>53</v>
      </c>
      <c r="S269" s="2" t="s">
        <v>17</v>
      </c>
      <c r="T269" s="2" t="s">
        <v>35</v>
      </c>
      <c r="U269" s="2" t="s">
        <v>0</v>
      </c>
    </row>
    <row r="270" spans="1:21">
      <c r="A270" s="2" t="s">
        <v>1437</v>
      </c>
      <c r="B270" s="2" t="s">
        <v>27</v>
      </c>
      <c r="C270" s="2" t="s">
        <v>1438</v>
      </c>
      <c r="D270" s="2" t="s">
        <v>1439</v>
      </c>
      <c r="E270" s="2" t="s">
        <v>1440</v>
      </c>
      <c r="F270" s="2" t="s">
        <v>1441</v>
      </c>
      <c r="G270" s="2" t="s">
        <v>1442</v>
      </c>
      <c r="H270" s="2" t="s">
        <v>1443</v>
      </c>
      <c r="I270" s="2" t="s">
        <v>1444</v>
      </c>
      <c r="J270" s="2" t="s">
        <v>1208</v>
      </c>
      <c r="K270" s="2" t="s">
        <v>700</v>
      </c>
      <c r="L270" s="2" t="s">
        <v>0</v>
      </c>
      <c r="M270" s="2" t="s">
        <v>701</v>
      </c>
      <c r="N270" s="2" t="s">
        <v>12</v>
      </c>
      <c r="O270" s="2" t="s">
        <v>0</v>
      </c>
      <c r="P270" s="2" t="s">
        <v>14</v>
      </c>
      <c r="Q270" s="2" t="s">
        <v>52</v>
      </c>
      <c r="R270" s="2" t="s">
        <v>53</v>
      </c>
      <c r="S270" s="2" t="s">
        <v>17</v>
      </c>
      <c r="T270" s="2" t="s">
        <v>35</v>
      </c>
      <c r="U270" s="2" t="s">
        <v>1445</v>
      </c>
    </row>
    <row r="271" spans="1:21">
      <c r="A271" s="2" t="s">
        <v>1446</v>
      </c>
      <c r="B271" s="2" t="s">
        <v>27</v>
      </c>
      <c r="C271" s="2" t="s">
        <v>1447</v>
      </c>
      <c r="D271" s="2" t="s">
        <v>1448</v>
      </c>
      <c r="E271" s="2" t="s">
        <v>1449</v>
      </c>
      <c r="F271" s="2" t="s">
        <v>1450</v>
      </c>
      <c r="G271" s="2" t="s">
        <v>921</v>
      </c>
      <c r="H271" s="2" t="s">
        <v>1451</v>
      </c>
      <c r="I271" s="2" t="s">
        <v>1452</v>
      </c>
      <c r="J271" s="2" t="s">
        <v>699</v>
      </c>
      <c r="K271" s="2" t="s">
        <v>700</v>
      </c>
      <c r="L271" s="2" t="s">
        <v>0</v>
      </c>
      <c r="M271" s="2" t="s">
        <v>701</v>
      </c>
      <c r="N271" s="2" t="s">
        <v>12</v>
      </c>
      <c r="O271" s="2" t="s">
        <v>0</v>
      </c>
      <c r="P271" s="2" t="s">
        <v>14</v>
      </c>
      <c r="Q271" s="2" t="s">
        <v>52</v>
      </c>
      <c r="R271" s="2" t="s">
        <v>702</v>
      </c>
      <c r="S271" s="2" t="s">
        <v>17</v>
      </c>
      <c r="T271" s="2" t="s">
        <v>35</v>
      </c>
      <c r="U271" s="2" t="s">
        <v>1453</v>
      </c>
    </row>
    <row r="272" spans="1:21">
      <c r="A272" s="2" t="s">
        <v>1454</v>
      </c>
      <c r="B272" s="2" t="s">
        <v>27</v>
      </c>
      <c r="C272" s="2" t="s">
        <v>1455</v>
      </c>
      <c r="D272" s="2" t="s">
        <v>1456</v>
      </c>
      <c r="E272" s="2" t="s">
        <v>1457</v>
      </c>
      <c r="F272" s="2" t="s">
        <v>226</v>
      </c>
      <c r="G272" s="2" t="s">
        <v>227</v>
      </c>
      <c r="H272" s="2" t="s">
        <v>1451</v>
      </c>
      <c r="I272" s="2" t="s">
        <v>1452</v>
      </c>
      <c r="J272" s="2" t="s">
        <v>699</v>
      </c>
      <c r="K272" s="2" t="s">
        <v>700</v>
      </c>
      <c r="L272" s="2" t="s">
        <v>0</v>
      </c>
      <c r="M272" s="2" t="s">
        <v>701</v>
      </c>
      <c r="N272" s="2" t="s">
        <v>12</v>
      </c>
      <c r="O272" s="2" t="s">
        <v>0</v>
      </c>
      <c r="P272" s="2" t="s">
        <v>14</v>
      </c>
      <c r="Q272" s="2" t="s">
        <v>52</v>
      </c>
      <c r="R272" s="2" t="s">
        <v>702</v>
      </c>
      <c r="S272" s="2" t="s">
        <v>17</v>
      </c>
      <c r="T272" s="2" t="s">
        <v>35</v>
      </c>
      <c r="U272" s="2" t="s">
        <v>0</v>
      </c>
    </row>
    <row r="273" spans="1:21">
      <c r="A273" s="2" t="s">
        <v>1458</v>
      </c>
      <c r="B273" s="2" t="s">
        <v>27</v>
      </c>
      <c r="C273" s="2" t="s">
        <v>1459</v>
      </c>
      <c r="D273" s="2" t="s">
        <v>1460</v>
      </c>
      <c r="E273" s="2" t="s">
        <v>1461</v>
      </c>
      <c r="F273" s="2" t="s">
        <v>927</v>
      </c>
      <c r="G273" s="2" t="s">
        <v>928</v>
      </c>
      <c r="H273" s="2" t="s">
        <v>1451</v>
      </c>
      <c r="I273" s="2" t="s">
        <v>1452</v>
      </c>
      <c r="J273" s="2" t="s">
        <v>699</v>
      </c>
      <c r="K273" s="2" t="s">
        <v>700</v>
      </c>
      <c r="L273" s="2" t="s">
        <v>0</v>
      </c>
      <c r="M273" s="2" t="s">
        <v>701</v>
      </c>
      <c r="N273" s="2" t="s">
        <v>12</v>
      </c>
      <c r="O273" s="2" t="s">
        <v>0</v>
      </c>
      <c r="P273" s="2" t="s">
        <v>14</v>
      </c>
      <c r="Q273" s="2" t="s">
        <v>52</v>
      </c>
      <c r="R273" s="2" t="s">
        <v>702</v>
      </c>
      <c r="S273" s="2" t="s">
        <v>17</v>
      </c>
      <c r="T273" s="2" t="s">
        <v>35</v>
      </c>
      <c r="U273" s="2" t="s">
        <v>0</v>
      </c>
    </row>
    <row r="274" spans="1:21">
      <c r="A274" s="2" t="s">
        <v>1462</v>
      </c>
      <c r="B274" s="2" t="s">
        <v>27</v>
      </c>
      <c r="C274" s="2" t="s">
        <v>1463</v>
      </c>
      <c r="D274" s="2" t="s">
        <v>1464</v>
      </c>
      <c r="E274" s="2" t="s">
        <v>1465</v>
      </c>
      <c r="F274" s="2" t="s">
        <v>927</v>
      </c>
      <c r="G274" s="2" t="s">
        <v>928</v>
      </c>
      <c r="H274" s="2" t="s">
        <v>1451</v>
      </c>
      <c r="I274" s="2" t="s">
        <v>1452</v>
      </c>
      <c r="J274" s="2" t="s">
        <v>699</v>
      </c>
      <c r="K274" s="2" t="s">
        <v>700</v>
      </c>
      <c r="L274" s="2" t="s">
        <v>0</v>
      </c>
      <c r="M274" s="2" t="s">
        <v>701</v>
      </c>
      <c r="N274" s="2" t="s">
        <v>12</v>
      </c>
      <c r="O274" s="2" t="s">
        <v>0</v>
      </c>
      <c r="P274" s="2" t="s">
        <v>14</v>
      </c>
      <c r="Q274" s="2" t="s">
        <v>52</v>
      </c>
      <c r="R274" s="2" t="s">
        <v>702</v>
      </c>
      <c r="S274" s="2" t="s">
        <v>17</v>
      </c>
      <c r="T274" s="2" t="s">
        <v>35</v>
      </c>
      <c r="U274" s="2" t="s">
        <v>0</v>
      </c>
    </row>
    <row r="275" spans="1:21">
      <c r="A275" s="2" t="s">
        <v>1466</v>
      </c>
      <c r="B275" s="2" t="s">
        <v>27</v>
      </c>
      <c r="C275" s="2" t="s">
        <v>1467</v>
      </c>
      <c r="D275" s="2" t="s">
        <v>1468</v>
      </c>
      <c r="E275" s="2" t="s">
        <v>1469</v>
      </c>
      <c r="F275" s="2" t="s">
        <v>920</v>
      </c>
      <c r="G275" s="2" t="s">
        <v>921</v>
      </c>
      <c r="H275" s="2" t="s">
        <v>1470</v>
      </c>
      <c r="I275" s="2" t="s">
        <v>1471</v>
      </c>
      <c r="J275" s="2" t="s">
        <v>699</v>
      </c>
      <c r="K275" s="2" t="s">
        <v>700</v>
      </c>
      <c r="L275" s="2" t="s">
        <v>0</v>
      </c>
      <c r="M275" s="2" t="s">
        <v>701</v>
      </c>
      <c r="N275" s="2" t="s">
        <v>12</v>
      </c>
      <c r="O275" s="2" t="s">
        <v>0</v>
      </c>
      <c r="P275" s="2" t="s">
        <v>14</v>
      </c>
      <c r="Q275" s="2" t="s">
        <v>52</v>
      </c>
      <c r="R275" s="2" t="s">
        <v>747</v>
      </c>
      <c r="S275" s="2" t="s">
        <v>17</v>
      </c>
      <c r="T275" s="2" t="s">
        <v>35</v>
      </c>
      <c r="U275" s="2" t="s">
        <v>1472</v>
      </c>
    </row>
    <row r="276" spans="1:21">
      <c r="A276" s="2" t="s">
        <v>1473</v>
      </c>
      <c r="B276" s="2" t="s">
        <v>27</v>
      </c>
      <c r="C276" s="2" t="s">
        <v>503</v>
      </c>
      <c r="D276" s="2" t="s">
        <v>1474</v>
      </c>
      <c r="E276" s="2" t="s">
        <v>1475</v>
      </c>
      <c r="F276" s="2" t="s">
        <v>226</v>
      </c>
      <c r="G276" s="2" t="s">
        <v>227</v>
      </c>
      <c r="H276" s="2" t="s">
        <v>1470</v>
      </c>
      <c r="I276" s="2" t="s">
        <v>1471</v>
      </c>
      <c r="J276" s="2" t="s">
        <v>699</v>
      </c>
      <c r="K276" s="2" t="s">
        <v>700</v>
      </c>
      <c r="L276" s="2" t="s">
        <v>0</v>
      </c>
      <c r="M276" s="2" t="s">
        <v>701</v>
      </c>
      <c r="N276" s="2" t="s">
        <v>12</v>
      </c>
      <c r="O276" s="2" t="s">
        <v>0</v>
      </c>
      <c r="P276" s="2" t="s">
        <v>14</v>
      </c>
      <c r="Q276" s="2" t="s">
        <v>52</v>
      </c>
      <c r="R276" s="2" t="s">
        <v>747</v>
      </c>
      <c r="S276" s="2" t="s">
        <v>17</v>
      </c>
      <c r="T276" s="2" t="s">
        <v>35</v>
      </c>
      <c r="U276" s="2" t="s">
        <v>0</v>
      </c>
    </row>
    <row r="277" spans="1:21">
      <c r="A277" s="2" t="s">
        <v>1476</v>
      </c>
      <c r="B277" s="2" t="s">
        <v>27</v>
      </c>
      <c r="C277" s="2" t="s">
        <v>1477</v>
      </c>
      <c r="D277" s="2" t="s">
        <v>1478</v>
      </c>
      <c r="E277" s="2" t="s">
        <v>1479</v>
      </c>
      <c r="F277" s="2" t="s">
        <v>1480</v>
      </c>
      <c r="G277" s="2" t="s">
        <v>928</v>
      </c>
      <c r="H277" s="2" t="s">
        <v>1470</v>
      </c>
      <c r="I277" s="2" t="s">
        <v>1471</v>
      </c>
      <c r="J277" s="2" t="s">
        <v>699</v>
      </c>
      <c r="K277" s="2" t="s">
        <v>700</v>
      </c>
      <c r="L277" s="2" t="s">
        <v>0</v>
      </c>
      <c r="M277" s="2" t="s">
        <v>701</v>
      </c>
      <c r="N277" s="2" t="s">
        <v>12</v>
      </c>
      <c r="O277" s="2" t="s">
        <v>0</v>
      </c>
      <c r="P277" s="2" t="s">
        <v>14</v>
      </c>
      <c r="Q277" s="2" t="s">
        <v>52</v>
      </c>
      <c r="R277" s="2" t="s">
        <v>747</v>
      </c>
      <c r="S277" s="2" t="s">
        <v>17</v>
      </c>
      <c r="T277" s="2" t="s">
        <v>35</v>
      </c>
      <c r="U277" s="2" t="s">
        <v>0</v>
      </c>
    </row>
    <row r="278" spans="1:21">
      <c r="A278" s="2" t="s">
        <v>1481</v>
      </c>
      <c r="B278" s="2" t="s">
        <v>27</v>
      </c>
      <c r="C278" s="2" t="s">
        <v>1482</v>
      </c>
      <c r="D278" s="2" t="s">
        <v>1483</v>
      </c>
      <c r="E278" s="2" t="s">
        <v>1484</v>
      </c>
      <c r="F278" s="2" t="s">
        <v>226</v>
      </c>
      <c r="G278" s="2" t="s">
        <v>227</v>
      </c>
      <c r="H278" s="2" t="s">
        <v>1470</v>
      </c>
      <c r="I278" s="2" t="s">
        <v>1471</v>
      </c>
      <c r="J278" s="2" t="s">
        <v>699</v>
      </c>
      <c r="K278" s="2" t="s">
        <v>700</v>
      </c>
      <c r="L278" s="2" t="s">
        <v>0</v>
      </c>
      <c r="M278" s="2" t="s">
        <v>701</v>
      </c>
      <c r="N278" s="2" t="s">
        <v>12</v>
      </c>
      <c r="O278" s="2" t="s">
        <v>0</v>
      </c>
      <c r="P278" s="2" t="s">
        <v>14</v>
      </c>
      <c r="Q278" s="2" t="s">
        <v>52</v>
      </c>
      <c r="R278" s="2" t="s">
        <v>747</v>
      </c>
      <c r="S278" s="2" t="s">
        <v>17</v>
      </c>
      <c r="T278" s="2" t="s">
        <v>35</v>
      </c>
      <c r="U278" s="2" t="s">
        <v>0</v>
      </c>
    </row>
    <row r="279" spans="1:21">
      <c r="A279" s="2" t="s">
        <v>1485</v>
      </c>
      <c r="B279" s="2" t="s">
        <v>27</v>
      </c>
      <c r="C279" s="2" t="s">
        <v>1486</v>
      </c>
      <c r="D279" s="2" t="s">
        <v>1487</v>
      </c>
      <c r="E279" s="2" t="s">
        <v>1488</v>
      </c>
      <c r="F279" s="2" t="s">
        <v>927</v>
      </c>
      <c r="G279" s="2" t="s">
        <v>928</v>
      </c>
      <c r="H279" s="2" t="s">
        <v>1470</v>
      </c>
      <c r="I279" s="2" t="s">
        <v>1471</v>
      </c>
      <c r="J279" s="2" t="s">
        <v>699</v>
      </c>
      <c r="K279" s="2" t="s">
        <v>700</v>
      </c>
      <c r="L279" s="2" t="s">
        <v>0</v>
      </c>
      <c r="M279" s="2" t="s">
        <v>701</v>
      </c>
      <c r="N279" s="2" t="s">
        <v>12</v>
      </c>
      <c r="O279" s="2" t="s">
        <v>0</v>
      </c>
      <c r="P279" s="2" t="s">
        <v>14</v>
      </c>
      <c r="Q279" s="2" t="s">
        <v>52</v>
      </c>
      <c r="R279" s="2" t="s">
        <v>747</v>
      </c>
      <c r="S279" s="2" t="s">
        <v>17</v>
      </c>
      <c r="T279" s="2" t="s">
        <v>35</v>
      </c>
      <c r="U279" s="2" t="s">
        <v>0</v>
      </c>
    </row>
    <row r="280" spans="1:21">
      <c r="A280" s="2" t="s">
        <v>1489</v>
      </c>
      <c r="B280" s="2" t="s">
        <v>3</v>
      </c>
      <c r="C280" s="2" t="s">
        <v>1490</v>
      </c>
      <c r="D280" s="2" t="s">
        <v>1491</v>
      </c>
      <c r="E280" s="2" t="s">
        <v>1492</v>
      </c>
      <c r="F280" s="2" t="s">
        <v>1493</v>
      </c>
      <c r="G280" s="2" t="s">
        <v>1494</v>
      </c>
      <c r="H280" s="2" t="s">
        <v>1495</v>
      </c>
      <c r="I280" s="2" t="s">
        <v>1496</v>
      </c>
      <c r="J280" s="2" t="s">
        <v>0</v>
      </c>
      <c r="K280" s="2" t="s">
        <v>0</v>
      </c>
      <c r="L280" s="2" t="s">
        <v>1083</v>
      </c>
      <c r="M280" s="2" t="s">
        <v>701</v>
      </c>
      <c r="N280" s="2" t="s">
        <v>12</v>
      </c>
      <c r="O280" s="2" t="s">
        <v>13</v>
      </c>
      <c r="P280" s="2" t="s">
        <v>33</v>
      </c>
      <c r="Q280" s="2" t="s">
        <v>15</v>
      </c>
      <c r="R280" s="2" t="s">
        <v>34</v>
      </c>
      <c r="S280" s="2" t="s">
        <v>17</v>
      </c>
      <c r="T280" s="2" t="s">
        <v>18</v>
      </c>
      <c r="U280" s="2" t="s">
        <v>0</v>
      </c>
    </row>
    <row r="281" spans="1:21">
      <c r="A281" s="2" t="s">
        <v>1497</v>
      </c>
      <c r="B281" s="2" t="s">
        <v>27</v>
      </c>
      <c r="C281" s="2" t="s">
        <v>1498</v>
      </c>
      <c r="D281" s="2" t="s">
        <v>1499</v>
      </c>
      <c r="E281" s="2" t="s">
        <v>1500</v>
      </c>
      <c r="F281" s="2" t="s">
        <v>210</v>
      </c>
      <c r="G281" s="2" t="s">
        <v>211</v>
      </c>
      <c r="H281" s="2" t="s">
        <v>1495</v>
      </c>
      <c r="I281" s="2" t="s">
        <v>1496</v>
      </c>
      <c r="J281" s="2" t="s">
        <v>0</v>
      </c>
      <c r="K281" s="2" t="s">
        <v>0</v>
      </c>
      <c r="L281" s="2" t="s">
        <v>1083</v>
      </c>
      <c r="M281" s="2" t="s">
        <v>701</v>
      </c>
      <c r="N281" s="2" t="s">
        <v>12</v>
      </c>
      <c r="O281" s="2" t="s">
        <v>13</v>
      </c>
      <c r="P281" s="2" t="s">
        <v>14</v>
      </c>
      <c r="Q281" s="2" t="s">
        <v>819</v>
      </c>
      <c r="R281" s="2" t="s">
        <v>820</v>
      </c>
      <c r="S281" s="2" t="s">
        <v>17</v>
      </c>
      <c r="T281" s="2" t="s">
        <v>35</v>
      </c>
      <c r="U281" s="2" t="s">
        <v>1501</v>
      </c>
    </row>
    <row r="282" spans="1:21">
      <c r="A282" s="2" t="s">
        <v>1502</v>
      </c>
      <c r="B282" s="2" t="s">
        <v>3</v>
      </c>
      <c r="C282" s="2" t="s">
        <v>1503</v>
      </c>
      <c r="D282" s="2" t="s">
        <v>1504</v>
      </c>
      <c r="E282" s="2" t="s">
        <v>1505</v>
      </c>
      <c r="F282" s="2" t="s">
        <v>226</v>
      </c>
      <c r="G282" s="2" t="s">
        <v>227</v>
      </c>
      <c r="H282" s="2" t="s">
        <v>1506</v>
      </c>
      <c r="I282" s="2" t="s">
        <v>1507</v>
      </c>
      <c r="J282" s="2" t="s">
        <v>1208</v>
      </c>
      <c r="K282" s="2" t="s">
        <v>700</v>
      </c>
      <c r="L282" s="2" t="s">
        <v>0</v>
      </c>
      <c r="M282" s="2" t="s">
        <v>701</v>
      </c>
      <c r="N282" s="2" t="s">
        <v>12</v>
      </c>
      <c r="O282" s="2" t="s">
        <v>0</v>
      </c>
      <c r="P282" s="2" t="s">
        <v>14</v>
      </c>
      <c r="Q282" s="2" t="s">
        <v>1416</v>
      </c>
      <c r="R282" s="2" t="s">
        <v>53</v>
      </c>
      <c r="S282" s="2" t="s">
        <v>17</v>
      </c>
      <c r="T282" s="2" t="s">
        <v>18</v>
      </c>
      <c r="U282" s="2" t="s">
        <v>0</v>
      </c>
    </row>
    <row r="283" spans="1:21">
      <c r="A283" s="2" t="s">
        <v>1508</v>
      </c>
      <c r="B283" s="2" t="s">
        <v>27</v>
      </c>
      <c r="C283" s="2" t="s">
        <v>1509</v>
      </c>
      <c r="D283" s="2" t="s">
        <v>1510</v>
      </c>
      <c r="E283" s="2" t="s">
        <v>1511</v>
      </c>
      <c r="F283" s="2" t="s">
        <v>1512</v>
      </c>
      <c r="G283" s="2" t="s">
        <v>1513</v>
      </c>
      <c r="H283" s="2" t="s">
        <v>1506</v>
      </c>
      <c r="I283" s="2" t="s">
        <v>1507</v>
      </c>
      <c r="J283" s="2" t="s">
        <v>1208</v>
      </c>
      <c r="K283" s="2" t="s">
        <v>700</v>
      </c>
      <c r="L283" s="2" t="s">
        <v>0</v>
      </c>
      <c r="M283" s="2" t="s">
        <v>701</v>
      </c>
      <c r="N283" s="2" t="s">
        <v>12</v>
      </c>
      <c r="O283" s="2" t="s">
        <v>0</v>
      </c>
      <c r="P283" s="2" t="s">
        <v>14</v>
      </c>
      <c r="Q283" s="2" t="s">
        <v>52</v>
      </c>
      <c r="R283" s="2" t="s">
        <v>53</v>
      </c>
      <c r="S283" s="2" t="s">
        <v>17</v>
      </c>
      <c r="T283" s="2" t="s">
        <v>35</v>
      </c>
      <c r="U283" s="2" t="s">
        <v>1514</v>
      </c>
    </row>
    <row r="284" spans="1:21">
      <c r="A284" s="2" t="s">
        <v>1515</v>
      </c>
      <c r="B284" s="2" t="s">
        <v>46</v>
      </c>
      <c r="C284" s="2" t="s">
        <v>1516</v>
      </c>
      <c r="D284" s="2" t="s">
        <v>1517</v>
      </c>
      <c r="E284" s="2" t="s">
        <v>1518</v>
      </c>
      <c r="F284" s="2" t="s">
        <v>203</v>
      </c>
      <c r="G284" s="2" t="s">
        <v>204</v>
      </c>
      <c r="H284" s="2" t="s">
        <v>1519</v>
      </c>
      <c r="I284" s="2" t="s">
        <v>0</v>
      </c>
      <c r="J284" s="2" t="s">
        <v>0</v>
      </c>
      <c r="K284" s="2" t="s">
        <v>0</v>
      </c>
      <c r="L284" s="2" t="s">
        <v>0</v>
      </c>
      <c r="M284" s="2" t="s">
        <v>701</v>
      </c>
      <c r="N284" s="2" t="s">
        <v>12</v>
      </c>
      <c r="O284" s="2" t="s">
        <v>13</v>
      </c>
      <c r="P284" s="2" t="s">
        <v>14</v>
      </c>
      <c r="Q284" s="2" t="s">
        <v>52</v>
      </c>
      <c r="R284" s="2" t="s">
        <v>53</v>
      </c>
      <c r="S284" s="2" t="s">
        <v>17</v>
      </c>
      <c r="T284" s="2" t="s">
        <v>18</v>
      </c>
      <c r="U284" s="2" t="s">
        <v>0</v>
      </c>
    </row>
    <row r="285" spans="1:21">
      <c r="A285" s="2" t="s">
        <v>1520</v>
      </c>
      <c r="B285" s="2" t="s">
        <v>27</v>
      </c>
      <c r="C285" s="2" t="s">
        <v>1521</v>
      </c>
      <c r="D285" s="2" t="s">
        <v>1522</v>
      </c>
      <c r="E285" s="2" t="s">
        <v>1523</v>
      </c>
      <c r="F285" s="2" t="s">
        <v>1524</v>
      </c>
      <c r="G285" s="2" t="s">
        <v>1525</v>
      </c>
      <c r="H285" s="2" t="s">
        <v>1519</v>
      </c>
      <c r="I285" s="2" t="s">
        <v>0</v>
      </c>
      <c r="J285" s="2" t="s">
        <v>0</v>
      </c>
      <c r="K285" s="2" t="s">
        <v>0</v>
      </c>
      <c r="L285" s="2" t="s">
        <v>0</v>
      </c>
      <c r="M285" s="2" t="s">
        <v>701</v>
      </c>
      <c r="N285" s="2" t="s">
        <v>12</v>
      </c>
      <c r="O285" s="2" t="s">
        <v>13</v>
      </c>
      <c r="P285" s="2" t="s">
        <v>14</v>
      </c>
      <c r="Q285" s="2" t="s">
        <v>52</v>
      </c>
      <c r="R285" s="2" t="s">
        <v>53</v>
      </c>
      <c r="S285" s="2" t="s">
        <v>17</v>
      </c>
      <c r="T285" s="2" t="s">
        <v>35</v>
      </c>
      <c r="U285" s="2" t="s">
        <v>1526</v>
      </c>
    </row>
    <row r="286" spans="1:21">
      <c r="A286" s="2" t="s">
        <v>1527</v>
      </c>
      <c r="B286" s="2" t="s">
        <v>3</v>
      </c>
      <c r="C286" s="2" t="s">
        <v>1528</v>
      </c>
      <c r="D286" s="2" t="s">
        <v>1529</v>
      </c>
      <c r="E286" s="2" t="s">
        <v>1530</v>
      </c>
      <c r="F286" s="2" t="s">
        <v>1531</v>
      </c>
      <c r="G286" s="2" t="s">
        <v>1532</v>
      </c>
      <c r="H286" s="2" t="s">
        <v>1533</v>
      </c>
      <c r="I286" s="2" t="s">
        <v>0</v>
      </c>
      <c r="J286" s="2" t="s">
        <v>1534</v>
      </c>
      <c r="K286" s="2" t="s">
        <v>0</v>
      </c>
      <c r="L286" s="2" t="s">
        <v>1535</v>
      </c>
      <c r="M286" s="2" t="s">
        <v>1536</v>
      </c>
      <c r="N286" s="2" t="s">
        <v>0</v>
      </c>
      <c r="O286" s="2" t="s">
        <v>13</v>
      </c>
      <c r="P286" s="2" t="s">
        <v>33</v>
      </c>
      <c r="Q286" s="2" t="s">
        <v>214</v>
      </c>
      <c r="R286" s="2" t="s">
        <v>34</v>
      </c>
      <c r="S286" s="2" t="s">
        <v>84</v>
      </c>
      <c r="T286" s="2" t="s">
        <v>18</v>
      </c>
      <c r="U286" s="2" t="s">
        <v>1537</v>
      </c>
    </row>
    <row r="287" spans="1:21">
      <c r="A287" s="2" t="s">
        <v>1538</v>
      </c>
      <c r="B287" s="2" t="s">
        <v>3</v>
      </c>
      <c r="C287" s="2" t="s">
        <v>1539</v>
      </c>
      <c r="D287" s="2" t="s">
        <v>1540</v>
      </c>
      <c r="E287" s="2" t="s">
        <v>1541</v>
      </c>
      <c r="F287" s="2" t="s">
        <v>1531</v>
      </c>
      <c r="G287" s="2" t="s">
        <v>1532</v>
      </c>
      <c r="H287" s="2" t="s">
        <v>1533</v>
      </c>
      <c r="I287" s="2" t="s">
        <v>0</v>
      </c>
      <c r="J287" s="2" t="s">
        <v>1534</v>
      </c>
      <c r="K287" s="2" t="s">
        <v>0</v>
      </c>
      <c r="L287" s="2" t="s">
        <v>1535</v>
      </c>
      <c r="M287" s="2" t="s">
        <v>1536</v>
      </c>
      <c r="N287" s="2" t="s">
        <v>0</v>
      </c>
      <c r="O287" s="2" t="s">
        <v>13</v>
      </c>
      <c r="P287" s="2" t="s">
        <v>33</v>
      </c>
      <c r="Q287" s="2" t="s">
        <v>214</v>
      </c>
      <c r="R287" s="2" t="s">
        <v>34</v>
      </c>
      <c r="S287" s="2" t="s">
        <v>84</v>
      </c>
      <c r="T287" s="2" t="s">
        <v>18</v>
      </c>
      <c r="U287" s="2" t="s">
        <v>1542</v>
      </c>
    </row>
    <row r="288" spans="1:21">
      <c r="A288" s="2" t="s">
        <v>1543</v>
      </c>
      <c r="B288" s="2" t="s">
        <v>27</v>
      </c>
      <c r="C288" s="2" t="s">
        <v>1544</v>
      </c>
      <c r="D288" s="2" t="s">
        <v>1545</v>
      </c>
      <c r="E288" s="2" t="s">
        <v>1546</v>
      </c>
      <c r="F288" s="2" t="s">
        <v>418</v>
      </c>
      <c r="G288" s="2" t="s">
        <v>419</v>
      </c>
      <c r="H288" s="2" t="s">
        <v>1533</v>
      </c>
      <c r="I288" s="2" t="s">
        <v>0</v>
      </c>
      <c r="J288" s="2" t="s">
        <v>1534</v>
      </c>
      <c r="K288" s="2" t="s">
        <v>0</v>
      </c>
      <c r="L288" s="2" t="s">
        <v>1535</v>
      </c>
      <c r="M288" s="2" t="s">
        <v>1536</v>
      </c>
      <c r="N288" s="2" t="s">
        <v>0</v>
      </c>
      <c r="O288" s="2" t="s">
        <v>13</v>
      </c>
      <c r="P288" s="2" t="s">
        <v>33</v>
      </c>
      <c r="Q288" s="2" t="s">
        <v>214</v>
      </c>
      <c r="R288" s="2" t="s">
        <v>34</v>
      </c>
      <c r="S288" s="2" t="s">
        <v>84</v>
      </c>
      <c r="T288" s="2" t="s">
        <v>35</v>
      </c>
      <c r="U288" s="2" t="s">
        <v>0</v>
      </c>
    </row>
    <row r="289" spans="1:21">
      <c r="A289" s="2" t="s">
        <v>1547</v>
      </c>
      <c r="B289" s="2" t="s">
        <v>3</v>
      </c>
      <c r="C289" s="2" t="s">
        <v>1548</v>
      </c>
      <c r="D289" s="2" t="s">
        <v>1549</v>
      </c>
      <c r="E289" s="2" t="s">
        <v>1550</v>
      </c>
      <c r="F289" s="2" t="s">
        <v>418</v>
      </c>
      <c r="G289" s="2" t="s">
        <v>419</v>
      </c>
      <c r="H289" s="2" t="s">
        <v>1533</v>
      </c>
      <c r="I289" s="2" t="s">
        <v>0</v>
      </c>
      <c r="J289" s="2" t="s">
        <v>1534</v>
      </c>
      <c r="K289" s="2" t="s">
        <v>0</v>
      </c>
      <c r="L289" s="2" t="s">
        <v>1535</v>
      </c>
      <c r="M289" s="2" t="s">
        <v>1536</v>
      </c>
      <c r="N289" s="2" t="s">
        <v>0</v>
      </c>
      <c r="O289" s="2" t="s">
        <v>13</v>
      </c>
      <c r="P289" s="2" t="s">
        <v>33</v>
      </c>
      <c r="Q289" s="2" t="s">
        <v>214</v>
      </c>
      <c r="R289" s="2" t="s">
        <v>34</v>
      </c>
      <c r="S289" s="2" t="s">
        <v>84</v>
      </c>
      <c r="T289" s="2" t="s">
        <v>18</v>
      </c>
      <c r="U289" s="2" t="s">
        <v>1551</v>
      </c>
    </row>
    <row r="290" spans="1:21">
      <c r="A290" s="2" t="s">
        <v>1552</v>
      </c>
      <c r="B290" s="2" t="s">
        <v>27</v>
      </c>
      <c r="C290" s="2" t="s">
        <v>1553</v>
      </c>
      <c r="D290" s="2" t="s">
        <v>1554</v>
      </c>
      <c r="E290" s="2" t="s">
        <v>1555</v>
      </c>
      <c r="F290" s="2" t="s">
        <v>1556</v>
      </c>
      <c r="G290" s="2" t="s">
        <v>1557</v>
      </c>
      <c r="H290" s="2" t="s">
        <v>1533</v>
      </c>
      <c r="I290" s="2" t="s">
        <v>0</v>
      </c>
      <c r="J290" s="2" t="s">
        <v>1534</v>
      </c>
      <c r="K290" s="2" t="s">
        <v>0</v>
      </c>
      <c r="L290" s="2" t="s">
        <v>1535</v>
      </c>
      <c r="M290" s="2" t="s">
        <v>1536</v>
      </c>
      <c r="N290" s="2" t="s">
        <v>0</v>
      </c>
      <c r="O290" s="2" t="s">
        <v>13</v>
      </c>
      <c r="P290" s="2" t="s">
        <v>33</v>
      </c>
      <c r="Q290" s="2" t="s">
        <v>214</v>
      </c>
      <c r="R290" s="2" t="s">
        <v>34</v>
      </c>
      <c r="S290" s="2" t="s">
        <v>84</v>
      </c>
      <c r="T290" s="2" t="s">
        <v>35</v>
      </c>
      <c r="U290" s="2" t="s">
        <v>0</v>
      </c>
    </row>
    <row r="291" spans="1:21">
      <c r="A291" s="2" t="s">
        <v>1558</v>
      </c>
      <c r="B291" s="2" t="s">
        <v>46</v>
      </c>
      <c r="C291" s="2" t="s">
        <v>1559</v>
      </c>
      <c r="D291" s="2" t="s">
        <v>1560</v>
      </c>
      <c r="E291" s="2" t="s">
        <v>1561</v>
      </c>
      <c r="F291" s="2" t="s">
        <v>1531</v>
      </c>
      <c r="G291" s="2" t="s">
        <v>1532</v>
      </c>
      <c r="H291" s="2" t="s">
        <v>1533</v>
      </c>
      <c r="I291" s="2" t="s">
        <v>0</v>
      </c>
      <c r="J291" s="2" t="s">
        <v>1534</v>
      </c>
      <c r="K291" s="2" t="s">
        <v>0</v>
      </c>
      <c r="L291" s="2" t="s">
        <v>1535</v>
      </c>
      <c r="M291" s="2" t="s">
        <v>1536</v>
      </c>
      <c r="N291" s="2" t="s">
        <v>0</v>
      </c>
      <c r="O291" s="2" t="s">
        <v>13</v>
      </c>
      <c r="P291" s="2" t="s">
        <v>33</v>
      </c>
      <c r="Q291" s="2" t="s">
        <v>214</v>
      </c>
      <c r="R291" s="2" t="s">
        <v>34</v>
      </c>
      <c r="S291" s="2" t="s">
        <v>84</v>
      </c>
      <c r="T291" s="2" t="s">
        <v>18</v>
      </c>
      <c r="U291" s="2" t="s">
        <v>0</v>
      </c>
    </row>
    <row r="292" spans="1:21">
      <c r="A292" s="2" t="s">
        <v>1562</v>
      </c>
      <c r="B292" s="2" t="s">
        <v>3</v>
      </c>
      <c r="C292" s="2" t="s">
        <v>1563</v>
      </c>
      <c r="D292" s="2" t="s">
        <v>1564</v>
      </c>
      <c r="E292" s="2" t="s">
        <v>1565</v>
      </c>
      <c r="F292" s="2" t="s">
        <v>1531</v>
      </c>
      <c r="G292" s="2" t="s">
        <v>1532</v>
      </c>
      <c r="H292" s="2" t="s">
        <v>1533</v>
      </c>
      <c r="I292" s="2" t="s">
        <v>0</v>
      </c>
      <c r="J292" s="2" t="s">
        <v>1534</v>
      </c>
      <c r="K292" s="2" t="s">
        <v>0</v>
      </c>
      <c r="L292" s="2" t="s">
        <v>1535</v>
      </c>
      <c r="M292" s="2" t="s">
        <v>1536</v>
      </c>
      <c r="N292" s="2" t="s">
        <v>0</v>
      </c>
      <c r="O292" s="2" t="s">
        <v>13</v>
      </c>
      <c r="P292" s="2" t="s">
        <v>33</v>
      </c>
      <c r="Q292" s="2" t="s">
        <v>214</v>
      </c>
      <c r="R292" s="2" t="s">
        <v>34</v>
      </c>
      <c r="S292" s="2" t="s">
        <v>84</v>
      </c>
      <c r="T292" s="2" t="s">
        <v>18</v>
      </c>
      <c r="U292" s="2" t="s">
        <v>1566</v>
      </c>
    </row>
    <row r="293" spans="1:21">
      <c r="A293" s="2" t="s">
        <v>1567</v>
      </c>
      <c r="B293" s="2" t="s">
        <v>3</v>
      </c>
      <c r="C293" s="2" t="s">
        <v>1568</v>
      </c>
      <c r="D293" s="2" t="s">
        <v>1569</v>
      </c>
      <c r="E293" s="2" t="s">
        <v>1570</v>
      </c>
      <c r="F293" s="2" t="s">
        <v>1531</v>
      </c>
      <c r="G293" s="2" t="s">
        <v>1532</v>
      </c>
      <c r="H293" s="2" t="s">
        <v>1533</v>
      </c>
      <c r="I293" s="2" t="s">
        <v>0</v>
      </c>
      <c r="J293" s="2" t="s">
        <v>1534</v>
      </c>
      <c r="K293" s="2" t="s">
        <v>0</v>
      </c>
      <c r="L293" s="2" t="s">
        <v>1535</v>
      </c>
      <c r="M293" s="2" t="s">
        <v>1536</v>
      </c>
      <c r="N293" s="2" t="s">
        <v>0</v>
      </c>
      <c r="O293" s="2" t="s">
        <v>13</v>
      </c>
      <c r="P293" s="2" t="s">
        <v>33</v>
      </c>
      <c r="Q293" s="2" t="s">
        <v>214</v>
      </c>
      <c r="R293" s="2" t="s">
        <v>34</v>
      </c>
      <c r="S293" s="2" t="s">
        <v>84</v>
      </c>
      <c r="T293" s="2" t="s">
        <v>18</v>
      </c>
      <c r="U293" s="2" t="s">
        <v>0</v>
      </c>
    </row>
    <row r="294" spans="1:21">
      <c r="A294" s="2" t="s">
        <v>1571</v>
      </c>
      <c r="B294" s="2" t="s">
        <v>3</v>
      </c>
      <c r="C294" s="2" t="s">
        <v>1572</v>
      </c>
      <c r="D294" s="2" t="s">
        <v>1573</v>
      </c>
      <c r="E294" s="2" t="s">
        <v>1574</v>
      </c>
      <c r="F294" s="2" t="s">
        <v>1531</v>
      </c>
      <c r="G294" s="2" t="s">
        <v>1532</v>
      </c>
      <c r="H294" s="2" t="s">
        <v>1533</v>
      </c>
      <c r="I294" s="2" t="s">
        <v>0</v>
      </c>
      <c r="J294" s="2" t="s">
        <v>1534</v>
      </c>
      <c r="K294" s="2" t="s">
        <v>0</v>
      </c>
      <c r="L294" s="2" t="s">
        <v>1535</v>
      </c>
      <c r="M294" s="2" t="s">
        <v>1536</v>
      </c>
      <c r="N294" s="2" t="s">
        <v>0</v>
      </c>
      <c r="O294" s="2" t="s">
        <v>13</v>
      </c>
      <c r="P294" s="2" t="s">
        <v>33</v>
      </c>
      <c r="Q294" s="2" t="s">
        <v>214</v>
      </c>
      <c r="R294" s="2" t="s">
        <v>34</v>
      </c>
      <c r="S294" s="2" t="s">
        <v>205</v>
      </c>
      <c r="T294" s="2" t="s">
        <v>18</v>
      </c>
      <c r="U294" s="2" t="s">
        <v>0</v>
      </c>
    </row>
    <row r="295" spans="1:21">
      <c r="A295" s="2" t="s">
        <v>1575</v>
      </c>
      <c r="B295" s="2" t="s">
        <v>46</v>
      </c>
      <c r="C295" s="2" t="s">
        <v>1576</v>
      </c>
      <c r="D295" s="2" t="s">
        <v>1577</v>
      </c>
      <c r="E295" s="2" t="s">
        <v>1578</v>
      </c>
      <c r="F295" s="2" t="s">
        <v>1531</v>
      </c>
      <c r="G295" s="2" t="s">
        <v>1532</v>
      </c>
      <c r="H295" s="2" t="s">
        <v>1533</v>
      </c>
      <c r="I295" s="2" t="s">
        <v>0</v>
      </c>
      <c r="J295" s="2" t="s">
        <v>1534</v>
      </c>
      <c r="K295" s="2" t="s">
        <v>0</v>
      </c>
      <c r="L295" s="2" t="s">
        <v>1535</v>
      </c>
      <c r="M295" s="2" t="s">
        <v>1536</v>
      </c>
      <c r="N295" s="2" t="s">
        <v>0</v>
      </c>
      <c r="O295" s="2" t="s">
        <v>13</v>
      </c>
      <c r="P295" s="2" t="s">
        <v>149</v>
      </c>
      <c r="Q295" s="2" t="s">
        <v>1018</v>
      </c>
      <c r="R295" s="2" t="s">
        <v>1019</v>
      </c>
      <c r="S295" s="2" t="s">
        <v>17</v>
      </c>
      <c r="T295" s="2" t="s">
        <v>18</v>
      </c>
      <c r="U295" s="2" t="s">
        <v>0</v>
      </c>
    </row>
    <row r="296" spans="1:21">
      <c r="A296" s="2" t="s">
        <v>1579</v>
      </c>
      <c r="B296" s="2" t="s">
        <v>3</v>
      </c>
      <c r="C296" s="2" t="s">
        <v>1580</v>
      </c>
      <c r="D296" s="2" t="s">
        <v>1581</v>
      </c>
      <c r="E296" s="2" t="s">
        <v>1582</v>
      </c>
      <c r="F296" s="2" t="s">
        <v>1531</v>
      </c>
      <c r="G296" s="2" t="s">
        <v>1532</v>
      </c>
      <c r="H296" s="2" t="s">
        <v>1533</v>
      </c>
      <c r="I296" s="2" t="s">
        <v>0</v>
      </c>
      <c r="J296" s="2" t="s">
        <v>1534</v>
      </c>
      <c r="K296" s="2" t="s">
        <v>0</v>
      </c>
      <c r="L296" s="2" t="s">
        <v>1535</v>
      </c>
      <c r="M296" s="2" t="s">
        <v>1536</v>
      </c>
      <c r="N296" s="2" t="s">
        <v>0</v>
      </c>
      <c r="O296" s="2" t="s">
        <v>13</v>
      </c>
      <c r="P296" s="2" t="s">
        <v>14</v>
      </c>
      <c r="Q296" s="2" t="s">
        <v>15</v>
      </c>
      <c r="R296" s="2" t="s">
        <v>16</v>
      </c>
      <c r="S296" s="2" t="s">
        <v>17</v>
      </c>
      <c r="T296" s="2" t="s">
        <v>18</v>
      </c>
      <c r="U296" s="2" t="s">
        <v>0</v>
      </c>
    </row>
    <row r="297" spans="1:21">
      <c r="A297" s="2" t="s">
        <v>1583</v>
      </c>
      <c r="B297" s="2" t="s">
        <v>3</v>
      </c>
      <c r="C297" s="2" t="s">
        <v>1584</v>
      </c>
      <c r="D297" s="2" t="s">
        <v>1585</v>
      </c>
      <c r="E297" s="2" t="s">
        <v>1586</v>
      </c>
      <c r="F297" s="2" t="s">
        <v>1531</v>
      </c>
      <c r="G297" s="2" t="s">
        <v>1532</v>
      </c>
      <c r="H297" s="2" t="s">
        <v>1533</v>
      </c>
      <c r="I297" s="2" t="s">
        <v>0</v>
      </c>
      <c r="J297" s="2" t="s">
        <v>1534</v>
      </c>
      <c r="K297" s="2" t="s">
        <v>0</v>
      </c>
      <c r="L297" s="2" t="s">
        <v>1535</v>
      </c>
      <c r="M297" s="2" t="s">
        <v>1536</v>
      </c>
      <c r="N297" s="2" t="s">
        <v>0</v>
      </c>
      <c r="O297" s="2" t="s">
        <v>13</v>
      </c>
      <c r="P297" s="2" t="s">
        <v>14</v>
      </c>
      <c r="Q297" s="2" t="s">
        <v>15</v>
      </c>
      <c r="R297" s="2" t="s">
        <v>16</v>
      </c>
      <c r="S297" s="2" t="s">
        <v>17</v>
      </c>
      <c r="T297" s="2" t="s">
        <v>18</v>
      </c>
      <c r="U297" s="2" t="s">
        <v>0</v>
      </c>
    </row>
    <row r="298" spans="1:21">
      <c r="A298" s="2" t="s">
        <v>1587</v>
      </c>
      <c r="B298" s="2" t="s">
        <v>3</v>
      </c>
      <c r="C298" s="2" t="s">
        <v>1588</v>
      </c>
      <c r="D298" s="2" t="s">
        <v>1589</v>
      </c>
      <c r="E298" s="2" t="s">
        <v>1590</v>
      </c>
      <c r="F298" s="2" t="s">
        <v>418</v>
      </c>
      <c r="G298" s="2" t="s">
        <v>419</v>
      </c>
      <c r="H298" s="2" t="s">
        <v>1591</v>
      </c>
      <c r="I298" s="2" t="s">
        <v>0</v>
      </c>
      <c r="J298" s="2" t="s">
        <v>1592</v>
      </c>
      <c r="K298" s="2" t="s">
        <v>0</v>
      </c>
      <c r="L298" s="2" t="s">
        <v>1535</v>
      </c>
      <c r="M298" s="2" t="s">
        <v>1536</v>
      </c>
      <c r="N298" s="2" t="s">
        <v>0</v>
      </c>
      <c r="O298" s="2" t="s">
        <v>13</v>
      </c>
      <c r="P298" s="2" t="s">
        <v>33</v>
      </c>
      <c r="Q298" s="2" t="s">
        <v>83</v>
      </c>
      <c r="R298" s="2" t="s">
        <v>34</v>
      </c>
      <c r="S298" s="2" t="s">
        <v>84</v>
      </c>
      <c r="T298" s="2" t="s">
        <v>18</v>
      </c>
      <c r="U298" s="2" t="s">
        <v>0</v>
      </c>
    </row>
    <row r="299" spans="1:21">
      <c r="A299" s="2" t="s">
        <v>1593</v>
      </c>
      <c r="B299" s="2" t="s">
        <v>3</v>
      </c>
      <c r="C299" s="2" t="s">
        <v>1594</v>
      </c>
      <c r="D299" s="2" t="s">
        <v>1595</v>
      </c>
      <c r="E299" s="2" t="s">
        <v>1596</v>
      </c>
      <c r="F299" s="2" t="s">
        <v>1531</v>
      </c>
      <c r="G299" s="2" t="s">
        <v>1532</v>
      </c>
      <c r="H299" s="2" t="s">
        <v>1591</v>
      </c>
      <c r="I299" s="2" t="s">
        <v>0</v>
      </c>
      <c r="J299" s="2" t="s">
        <v>1592</v>
      </c>
      <c r="K299" s="2" t="s">
        <v>0</v>
      </c>
      <c r="L299" s="2" t="s">
        <v>1535</v>
      </c>
      <c r="M299" s="2" t="s">
        <v>1536</v>
      </c>
      <c r="N299" s="2" t="s">
        <v>0</v>
      </c>
      <c r="O299" s="2" t="s">
        <v>13</v>
      </c>
      <c r="P299" s="2" t="s">
        <v>33</v>
      </c>
      <c r="Q299" s="2" t="s">
        <v>83</v>
      </c>
      <c r="R299" s="2" t="s">
        <v>34</v>
      </c>
      <c r="S299" s="2" t="s">
        <v>84</v>
      </c>
      <c r="T299" s="2" t="s">
        <v>18</v>
      </c>
      <c r="U299" s="2" t="s">
        <v>0</v>
      </c>
    </row>
    <row r="300" spans="1:21">
      <c r="A300" s="2" t="s">
        <v>1597</v>
      </c>
      <c r="B300" s="2" t="s">
        <v>3</v>
      </c>
      <c r="C300" s="2" t="s">
        <v>1598</v>
      </c>
      <c r="D300" s="2" t="s">
        <v>1599</v>
      </c>
      <c r="E300" s="2" t="s">
        <v>1600</v>
      </c>
      <c r="F300" s="2" t="s">
        <v>1601</v>
      </c>
      <c r="G300" s="2" t="s">
        <v>1602</v>
      </c>
      <c r="H300" s="2" t="s">
        <v>1591</v>
      </c>
      <c r="I300" s="2" t="s">
        <v>0</v>
      </c>
      <c r="J300" s="2" t="s">
        <v>1592</v>
      </c>
      <c r="K300" s="2" t="s">
        <v>0</v>
      </c>
      <c r="L300" s="2" t="s">
        <v>1535</v>
      </c>
      <c r="M300" s="2" t="s">
        <v>1536</v>
      </c>
      <c r="N300" s="2" t="s">
        <v>0</v>
      </c>
      <c r="O300" s="2" t="s">
        <v>13</v>
      </c>
      <c r="P300" s="2" t="s">
        <v>33</v>
      </c>
      <c r="Q300" s="2" t="s">
        <v>83</v>
      </c>
      <c r="R300" s="2" t="s">
        <v>34</v>
      </c>
      <c r="S300" s="2" t="s">
        <v>84</v>
      </c>
      <c r="T300" s="2" t="s">
        <v>18</v>
      </c>
      <c r="U300" s="2" t="s">
        <v>1603</v>
      </c>
    </row>
    <row r="301" spans="1:21">
      <c r="A301" s="2" t="s">
        <v>1604</v>
      </c>
      <c r="B301" s="2" t="s">
        <v>46</v>
      </c>
      <c r="C301" s="2" t="s">
        <v>1605</v>
      </c>
      <c r="D301" s="2" t="s">
        <v>1606</v>
      </c>
      <c r="E301" s="2" t="s">
        <v>1607</v>
      </c>
      <c r="F301" s="2" t="s">
        <v>1531</v>
      </c>
      <c r="G301" s="2" t="s">
        <v>1532</v>
      </c>
      <c r="H301" s="2" t="s">
        <v>1591</v>
      </c>
      <c r="I301" s="2" t="s">
        <v>0</v>
      </c>
      <c r="J301" s="2" t="s">
        <v>1592</v>
      </c>
      <c r="K301" s="2" t="s">
        <v>0</v>
      </c>
      <c r="L301" s="2" t="s">
        <v>1535</v>
      </c>
      <c r="M301" s="2" t="s">
        <v>1536</v>
      </c>
      <c r="N301" s="2" t="s">
        <v>0</v>
      </c>
      <c r="O301" s="2" t="s">
        <v>13</v>
      </c>
      <c r="P301" s="2" t="s">
        <v>33</v>
      </c>
      <c r="Q301" s="2" t="s">
        <v>83</v>
      </c>
      <c r="R301" s="2" t="s">
        <v>34</v>
      </c>
      <c r="S301" s="2" t="s">
        <v>84</v>
      </c>
      <c r="T301" s="2" t="s">
        <v>18</v>
      </c>
      <c r="U301" s="2" t="s">
        <v>0</v>
      </c>
    </row>
    <row r="302" spans="1:21">
      <c r="A302" s="2" t="s">
        <v>1608</v>
      </c>
      <c r="B302" s="2" t="s">
        <v>3</v>
      </c>
      <c r="C302" s="2" t="s">
        <v>1609</v>
      </c>
      <c r="D302" s="2" t="s">
        <v>1610</v>
      </c>
      <c r="E302" s="2" t="s">
        <v>1611</v>
      </c>
      <c r="F302" s="2" t="s">
        <v>1531</v>
      </c>
      <c r="G302" s="2" t="s">
        <v>1532</v>
      </c>
      <c r="H302" s="2" t="s">
        <v>1591</v>
      </c>
      <c r="I302" s="2" t="s">
        <v>0</v>
      </c>
      <c r="J302" s="2" t="s">
        <v>1592</v>
      </c>
      <c r="K302" s="2" t="s">
        <v>0</v>
      </c>
      <c r="L302" s="2" t="s">
        <v>1535</v>
      </c>
      <c r="M302" s="2" t="s">
        <v>1536</v>
      </c>
      <c r="N302" s="2" t="s">
        <v>0</v>
      </c>
      <c r="O302" s="2" t="s">
        <v>13</v>
      </c>
      <c r="P302" s="2" t="s">
        <v>33</v>
      </c>
      <c r="Q302" s="2" t="s">
        <v>83</v>
      </c>
      <c r="R302" s="2" t="s">
        <v>34</v>
      </c>
      <c r="S302" s="2" t="s">
        <v>84</v>
      </c>
      <c r="T302" s="2" t="s">
        <v>18</v>
      </c>
      <c r="U302" s="2" t="s">
        <v>0</v>
      </c>
    </row>
    <row r="303" spans="1:21">
      <c r="A303" s="2" t="s">
        <v>1612</v>
      </c>
      <c r="B303" s="2" t="s">
        <v>3</v>
      </c>
      <c r="C303" s="2" t="s">
        <v>1613</v>
      </c>
      <c r="D303" s="2" t="s">
        <v>1614</v>
      </c>
      <c r="E303" s="2" t="s">
        <v>1615</v>
      </c>
      <c r="F303" s="2" t="s">
        <v>418</v>
      </c>
      <c r="G303" s="2" t="s">
        <v>419</v>
      </c>
      <c r="H303" s="2" t="s">
        <v>1591</v>
      </c>
      <c r="I303" s="2" t="s">
        <v>0</v>
      </c>
      <c r="J303" s="2" t="s">
        <v>1592</v>
      </c>
      <c r="K303" s="2" t="s">
        <v>0</v>
      </c>
      <c r="L303" s="2" t="s">
        <v>1535</v>
      </c>
      <c r="M303" s="2" t="s">
        <v>1536</v>
      </c>
      <c r="N303" s="2" t="s">
        <v>0</v>
      </c>
      <c r="O303" s="2" t="s">
        <v>13</v>
      </c>
      <c r="P303" s="2" t="s">
        <v>33</v>
      </c>
      <c r="Q303" s="2" t="s">
        <v>83</v>
      </c>
      <c r="R303" s="2" t="s">
        <v>34</v>
      </c>
      <c r="S303" s="2" t="s">
        <v>84</v>
      </c>
      <c r="T303" s="2" t="s">
        <v>18</v>
      </c>
      <c r="U303" s="2" t="s">
        <v>1616</v>
      </c>
    </row>
    <row r="304" spans="1:21">
      <c r="A304" s="2" t="s">
        <v>1617</v>
      </c>
      <c r="B304" s="2" t="s">
        <v>3</v>
      </c>
      <c r="C304" s="2" t="s">
        <v>1618</v>
      </c>
      <c r="D304" s="2" t="s">
        <v>1619</v>
      </c>
      <c r="E304" s="2" t="s">
        <v>1620</v>
      </c>
      <c r="F304" s="2" t="s">
        <v>418</v>
      </c>
      <c r="G304" s="2" t="s">
        <v>419</v>
      </c>
      <c r="H304" s="2" t="s">
        <v>1591</v>
      </c>
      <c r="I304" s="2" t="s">
        <v>0</v>
      </c>
      <c r="J304" s="2" t="s">
        <v>1592</v>
      </c>
      <c r="K304" s="2" t="s">
        <v>0</v>
      </c>
      <c r="L304" s="2" t="s">
        <v>1535</v>
      </c>
      <c r="M304" s="2" t="s">
        <v>1536</v>
      </c>
      <c r="N304" s="2" t="s">
        <v>0</v>
      </c>
      <c r="O304" s="2" t="s">
        <v>13</v>
      </c>
      <c r="P304" s="2" t="s">
        <v>33</v>
      </c>
      <c r="Q304" s="2" t="s">
        <v>83</v>
      </c>
      <c r="R304" s="2" t="s">
        <v>34</v>
      </c>
      <c r="S304" s="2" t="s">
        <v>84</v>
      </c>
      <c r="T304" s="2" t="s">
        <v>18</v>
      </c>
      <c r="U304" s="2" t="s">
        <v>0</v>
      </c>
    </row>
    <row r="305" spans="1:21">
      <c r="A305" s="2" t="s">
        <v>1621</v>
      </c>
      <c r="B305" s="2" t="s">
        <v>3</v>
      </c>
      <c r="C305" s="2" t="s">
        <v>1622</v>
      </c>
      <c r="D305" s="2" t="s">
        <v>1623</v>
      </c>
      <c r="E305" s="2" t="s">
        <v>1624</v>
      </c>
      <c r="F305" s="2" t="s">
        <v>1531</v>
      </c>
      <c r="G305" s="2" t="s">
        <v>1532</v>
      </c>
      <c r="H305" s="2" t="s">
        <v>1591</v>
      </c>
      <c r="I305" s="2" t="s">
        <v>0</v>
      </c>
      <c r="J305" s="2" t="s">
        <v>1592</v>
      </c>
      <c r="K305" s="2" t="s">
        <v>0</v>
      </c>
      <c r="L305" s="2" t="s">
        <v>1535</v>
      </c>
      <c r="M305" s="2" t="s">
        <v>1536</v>
      </c>
      <c r="N305" s="2" t="s">
        <v>0</v>
      </c>
      <c r="O305" s="2" t="s">
        <v>13</v>
      </c>
      <c r="P305" s="2" t="s">
        <v>33</v>
      </c>
      <c r="Q305" s="2" t="s">
        <v>83</v>
      </c>
      <c r="R305" s="2" t="s">
        <v>34</v>
      </c>
      <c r="S305" s="2" t="s">
        <v>84</v>
      </c>
      <c r="T305" s="2" t="s">
        <v>18</v>
      </c>
      <c r="U305" s="2" t="s">
        <v>0</v>
      </c>
    </row>
    <row r="306" spans="1:21">
      <c r="A306" s="2" t="s">
        <v>1625</v>
      </c>
      <c r="B306" s="2" t="s">
        <v>3</v>
      </c>
      <c r="C306" s="2" t="s">
        <v>1626</v>
      </c>
      <c r="D306" s="2" t="s">
        <v>1627</v>
      </c>
      <c r="E306" s="2" t="s">
        <v>1628</v>
      </c>
      <c r="F306" s="2" t="s">
        <v>1531</v>
      </c>
      <c r="G306" s="2" t="s">
        <v>1532</v>
      </c>
      <c r="H306" s="2" t="s">
        <v>1591</v>
      </c>
      <c r="I306" s="2" t="s">
        <v>0</v>
      </c>
      <c r="J306" s="2" t="s">
        <v>1592</v>
      </c>
      <c r="K306" s="2" t="s">
        <v>0</v>
      </c>
      <c r="L306" s="2" t="s">
        <v>1535</v>
      </c>
      <c r="M306" s="2" t="s">
        <v>1536</v>
      </c>
      <c r="N306" s="2" t="s">
        <v>0</v>
      </c>
      <c r="O306" s="2" t="s">
        <v>13</v>
      </c>
      <c r="P306" s="2" t="s">
        <v>33</v>
      </c>
      <c r="Q306" s="2" t="s">
        <v>83</v>
      </c>
      <c r="R306" s="2" t="s">
        <v>34</v>
      </c>
      <c r="S306" s="2" t="s">
        <v>84</v>
      </c>
      <c r="T306" s="2" t="s">
        <v>18</v>
      </c>
      <c r="U306" s="2" t="s">
        <v>0</v>
      </c>
    </row>
    <row r="307" spans="1:21">
      <c r="A307" s="2" t="s">
        <v>1629</v>
      </c>
      <c r="B307" s="2" t="s">
        <v>3</v>
      </c>
      <c r="C307" s="2" t="s">
        <v>1630</v>
      </c>
      <c r="D307" s="2" t="s">
        <v>1631</v>
      </c>
      <c r="E307" s="2" t="s">
        <v>1632</v>
      </c>
      <c r="F307" s="2" t="s">
        <v>418</v>
      </c>
      <c r="G307" s="2" t="s">
        <v>419</v>
      </c>
      <c r="H307" s="2" t="s">
        <v>1591</v>
      </c>
      <c r="I307" s="2" t="s">
        <v>0</v>
      </c>
      <c r="J307" s="2" t="s">
        <v>1592</v>
      </c>
      <c r="K307" s="2" t="s">
        <v>0</v>
      </c>
      <c r="L307" s="2" t="s">
        <v>1535</v>
      </c>
      <c r="M307" s="2" t="s">
        <v>1536</v>
      </c>
      <c r="N307" s="2" t="s">
        <v>0</v>
      </c>
      <c r="O307" s="2" t="s">
        <v>13</v>
      </c>
      <c r="P307" s="2" t="s">
        <v>33</v>
      </c>
      <c r="Q307" s="2" t="s">
        <v>83</v>
      </c>
      <c r="R307" s="2" t="s">
        <v>34</v>
      </c>
      <c r="S307" s="2" t="s">
        <v>205</v>
      </c>
      <c r="T307" s="2" t="s">
        <v>18</v>
      </c>
      <c r="U307" s="2" t="s">
        <v>0</v>
      </c>
    </row>
    <row r="308" spans="1:21">
      <c r="A308" s="2" t="s">
        <v>1633</v>
      </c>
      <c r="B308" s="2" t="s">
        <v>3</v>
      </c>
      <c r="C308" s="2" t="s">
        <v>1634</v>
      </c>
      <c r="D308" s="2" t="s">
        <v>1635</v>
      </c>
      <c r="E308" s="2" t="s">
        <v>1636</v>
      </c>
      <c r="F308" s="2" t="s">
        <v>1531</v>
      </c>
      <c r="G308" s="2" t="s">
        <v>1532</v>
      </c>
      <c r="H308" s="2" t="s">
        <v>1591</v>
      </c>
      <c r="I308" s="2" t="s">
        <v>0</v>
      </c>
      <c r="J308" s="2" t="s">
        <v>1592</v>
      </c>
      <c r="K308" s="2" t="s">
        <v>0</v>
      </c>
      <c r="L308" s="2" t="s">
        <v>1535</v>
      </c>
      <c r="M308" s="2" t="s">
        <v>1536</v>
      </c>
      <c r="N308" s="2" t="s">
        <v>0</v>
      </c>
      <c r="O308" s="2" t="s">
        <v>13</v>
      </c>
      <c r="P308" s="2" t="s">
        <v>149</v>
      </c>
      <c r="Q308" s="2" t="s">
        <v>150</v>
      </c>
      <c r="R308" s="2" t="s">
        <v>151</v>
      </c>
      <c r="S308" s="2" t="s">
        <v>17</v>
      </c>
      <c r="T308" s="2" t="s">
        <v>18</v>
      </c>
      <c r="U308" s="2" t="s">
        <v>0</v>
      </c>
    </row>
    <row r="309" spans="1:21">
      <c r="A309" s="2" t="s">
        <v>1637</v>
      </c>
      <c r="B309" s="2" t="s">
        <v>27</v>
      </c>
      <c r="C309" s="2" t="s">
        <v>1638</v>
      </c>
      <c r="D309" s="2" t="s">
        <v>1639</v>
      </c>
      <c r="E309" s="2" t="s">
        <v>1640</v>
      </c>
      <c r="F309" s="2" t="s">
        <v>418</v>
      </c>
      <c r="G309" s="2" t="s">
        <v>419</v>
      </c>
      <c r="H309" s="2" t="s">
        <v>1591</v>
      </c>
      <c r="I309" s="2" t="s">
        <v>0</v>
      </c>
      <c r="J309" s="2" t="s">
        <v>1592</v>
      </c>
      <c r="K309" s="2" t="s">
        <v>0</v>
      </c>
      <c r="L309" s="2" t="s">
        <v>1535</v>
      </c>
      <c r="M309" s="2" t="s">
        <v>1536</v>
      </c>
      <c r="N309" s="2" t="s">
        <v>0</v>
      </c>
      <c r="O309" s="2" t="s">
        <v>13</v>
      </c>
      <c r="P309" s="2" t="s">
        <v>14</v>
      </c>
      <c r="Q309" s="2" t="s">
        <v>52</v>
      </c>
      <c r="R309" s="2" t="s">
        <v>53</v>
      </c>
      <c r="S309" s="2" t="s">
        <v>17</v>
      </c>
      <c r="T309" s="2" t="s">
        <v>35</v>
      </c>
      <c r="U309" s="2" t="s">
        <v>1641</v>
      </c>
    </row>
    <row r="310" spans="1:21">
      <c r="A310" s="2" t="s">
        <v>1642</v>
      </c>
      <c r="B310" s="2" t="s">
        <v>3</v>
      </c>
      <c r="C310" s="2" t="s">
        <v>1643</v>
      </c>
      <c r="D310" s="2" t="s">
        <v>1644</v>
      </c>
      <c r="E310" s="2" t="s">
        <v>1645</v>
      </c>
      <c r="F310" s="2" t="s">
        <v>418</v>
      </c>
      <c r="G310" s="2" t="s">
        <v>419</v>
      </c>
      <c r="H310" s="2" t="s">
        <v>1591</v>
      </c>
      <c r="I310" s="2" t="s">
        <v>0</v>
      </c>
      <c r="J310" s="2" t="s">
        <v>1592</v>
      </c>
      <c r="K310" s="2" t="s">
        <v>0</v>
      </c>
      <c r="L310" s="2" t="s">
        <v>1535</v>
      </c>
      <c r="M310" s="2" t="s">
        <v>1536</v>
      </c>
      <c r="N310" s="2" t="s">
        <v>0</v>
      </c>
      <c r="O310" s="2" t="s">
        <v>13</v>
      </c>
      <c r="P310" s="2" t="s">
        <v>14</v>
      </c>
      <c r="Q310" s="2" t="s">
        <v>52</v>
      </c>
      <c r="R310" s="2" t="s">
        <v>53</v>
      </c>
      <c r="S310" s="2" t="s">
        <v>17</v>
      </c>
      <c r="T310" s="2" t="s">
        <v>18</v>
      </c>
      <c r="U310" s="2" t="s">
        <v>1646</v>
      </c>
    </row>
    <row r="311" spans="1:21">
      <c r="A311" s="2" t="s">
        <v>1647</v>
      </c>
      <c r="B311" s="2" t="s">
        <v>3</v>
      </c>
      <c r="C311" s="2" t="s">
        <v>1648</v>
      </c>
      <c r="D311" s="2" t="s">
        <v>1649</v>
      </c>
      <c r="E311" s="2" t="s">
        <v>1650</v>
      </c>
      <c r="F311" s="2" t="s">
        <v>1531</v>
      </c>
      <c r="G311" s="2" t="s">
        <v>1532</v>
      </c>
      <c r="H311" s="2" t="s">
        <v>1591</v>
      </c>
      <c r="I311" s="2" t="s">
        <v>0</v>
      </c>
      <c r="J311" s="2" t="s">
        <v>1592</v>
      </c>
      <c r="K311" s="2" t="s">
        <v>0</v>
      </c>
      <c r="L311" s="2" t="s">
        <v>1535</v>
      </c>
      <c r="M311" s="2" t="s">
        <v>1536</v>
      </c>
      <c r="N311" s="2" t="s">
        <v>0</v>
      </c>
      <c r="O311" s="2" t="s">
        <v>13</v>
      </c>
      <c r="P311" s="2" t="s">
        <v>14</v>
      </c>
      <c r="Q311" s="2" t="s">
        <v>52</v>
      </c>
      <c r="R311" s="2" t="s">
        <v>53</v>
      </c>
      <c r="S311" s="2" t="s">
        <v>17</v>
      </c>
      <c r="T311" s="2" t="s">
        <v>18</v>
      </c>
      <c r="U311" s="2" t="s">
        <v>0</v>
      </c>
    </row>
    <row r="312" spans="1:21">
      <c r="A312" s="2" t="s">
        <v>1651</v>
      </c>
      <c r="B312" s="2" t="s">
        <v>3</v>
      </c>
      <c r="C312" s="2" t="s">
        <v>1652</v>
      </c>
      <c r="D312" s="2" t="s">
        <v>1653</v>
      </c>
      <c r="E312" s="2" t="s">
        <v>1654</v>
      </c>
      <c r="F312" s="2" t="s">
        <v>1531</v>
      </c>
      <c r="G312" s="2" t="s">
        <v>1532</v>
      </c>
      <c r="H312" s="2" t="s">
        <v>1591</v>
      </c>
      <c r="I312" s="2" t="s">
        <v>0</v>
      </c>
      <c r="J312" s="2" t="s">
        <v>1592</v>
      </c>
      <c r="K312" s="2" t="s">
        <v>0</v>
      </c>
      <c r="L312" s="2" t="s">
        <v>1535</v>
      </c>
      <c r="M312" s="2" t="s">
        <v>1536</v>
      </c>
      <c r="N312" s="2" t="s">
        <v>0</v>
      </c>
      <c r="O312" s="2" t="s">
        <v>13</v>
      </c>
      <c r="P312" s="2" t="s">
        <v>14</v>
      </c>
      <c r="Q312" s="2" t="s">
        <v>52</v>
      </c>
      <c r="R312" s="2" t="s">
        <v>53</v>
      </c>
      <c r="S312" s="2" t="s">
        <v>17</v>
      </c>
      <c r="T312" s="2" t="s">
        <v>18</v>
      </c>
      <c r="U312" s="2" t="s">
        <v>0</v>
      </c>
    </row>
    <row r="313" spans="1:21">
      <c r="A313" s="2" t="s">
        <v>1655</v>
      </c>
      <c r="B313" s="2" t="s">
        <v>3</v>
      </c>
      <c r="C313" s="2" t="s">
        <v>1656</v>
      </c>
      <c r="D313" s="2" t="s">
        <v>1657</v>
      </c>
      <c r="E313" s="2" t="s">
        <v>1658</v>
      </c>
      <c r="F313" s="2" t="s">
        <v>1531</v>
      </c>
      <c r="G313" s="2" t="s">
        <v>1532</v>
      </c>
      <c r="H313" s="2" t="s">
        <v>1591</v>
      </c>
      <c r="I313" s="2" t="s">
        <v>0</v>
      </c>
      <c r="J313" s="2" t="s">
        <v>1592</v>
      </c>
      <c r="K313" s="2" t="s">
        <v>0</v>
      </c>
      <c r="L313" s="2" t="s">
        <v>1535</v>
      </c>
      <c r="M313" s="2" t="s">
        <v>1536</v>
      </c>
      <c r="N313" s="2" t="s">
        <v>0</v>
      </c>
      <c r="O313" s="2" t="s">
        <v>13</v>
      </c>
      <c r="P313" s="2" t="s">
        <v>14</v>
      </c>
      <c r="Q313" s="2" t="s">
        <v>52</v>
      </c>
      <c r="R313" s="2" t="s">
        <v>53</v>
      </c>
      <c r="S313" s="2" t="s">
        <v>17</v>
      </c>
      <c r="T313" s="2" t="s">
        <v>18</v>
      </c>
      <c r="U313" s="2" t="s">
        <v>0</v>
      </c>
    </row>
    <row r="314" spans="1:21">
      <c r="A314" s="2" t="s">
        <v>1659</v>
      </c>
      <c r="B314" s="2" t="s">
        <v>3</v>
      </c>
      <c r="C314" s="2" t="s">
        <v>1660</v>
      </c>
      <c r="D314" s="2" t="s">
        <v>1661</v>
      </c>
      <c r="E314" s="2" t="s">
        <v>1662</v>
      </c>
      <c r="F314" s="2" t="s">
        <v>1531</v>
      </c>
      <c r="G314" s="2" t="s">
        <v>1532</v>
      </c>
      <c r="H314" s="2" t="s">
        <v>1591</v>
      </c>
      <c r="I314" s="2" t="s">
        <v>0</v>
      </c>
      <c r="J314" s="2" t="s">
        <v>1592</v>
      </c>
      <c r="K314" s="2" t="s">
        <v>0</v>
      </c>
      <c r="L314" s="2" t="s">
        <v>1535</v>
      </c>
      <c r="M314" s="2" t="s">
        <v>1536</v>
      </c>
      <c r="N314" s="2" t="s">
        <v>0</v>
      </c>
      <c r="O314" s="2" t="s">
        <v>13</v>
      </c>
      <c r="P314" s="2" t="s">
        <v>14</v>
      </c>
      <c r="Q314" s="2" t="s">
        <v>52</v>
      </c>
      <c r="R314" s="2" t="s">
        <v>53</v>
      </c>
      <c r="S314" s="2" t="s">
        <v>17</v>
      </c>
      <c r="T314" s="2" t="s">
        <v>18</v>
      </c>
      <c r="U314" s="2" t="s">
        <v>0</v>
      </c>
    </row>
    <row r="315" spans="1:21">
      <c r="A315" s="2" t="s">
        <v>1663</v>
      </c>
      <c r="B315" s="2" t="s">
        <v>3</v>
      </c>
      <c r="C315" s="2" t="s">
        <v>1664</v>
      </c>
      <c r="D315" s="2" t="s">
        <v>1665</v>
      </c>
      <c r="E315" s="2" t="s">
        <v>1666</v>
      </c>
      <c r="F315" s="2" t="s">
        <v>1531</v>
      </c>
      <c r="G315" s="2" t="s">
        <v>1532</v>
      </c>
      <c r="H315" s="2" t="s">
        <v>1591</v>
      </c>
      <c r="I315" s="2" t="s">
        <v>0</v>
      </c>
      <c r="J315" s="2" t="s">
        <v>1592</v>
      </c>
      <c r="K315" s="2" t="s">
        <v>0</v>
      </c>
      <c r="L315" s="2" t="s">
        <v>1535</v>
      </c>
      <c r="M315" s="2" t="s">
        <v>1536</v>
      </c>
      <c r="N315" s="2" t="s">
        <v>0</v>
      </c>
      <c r="O315" s="2" t="s">
        <v>13</v>
      </c>
      <c r="P315" s="2" t="s">
        <v>14</v>
      </c>
      <c r="Q315" s="2" t="s">
        <v>52</v>
      </c>
      <c r="R315" s="2" t="s">
        <v>53</v>
      </c>
      <c r="S315" s="2" t="s">
        <v>17</v>
      </c>
      <c r="T315" s="2" t="s">
        <v>18</v>
      </c>
      <c r="U315" s="2" t="s">
        <v>0</v>
      </c>
    </row>
    <row r="316" spans="1:21">
      <c r="A316" s="2" t="s">
        <v>1667</v>
      </c>
      <c r="B316" s="2" t="s">
        <v>3</v>
      </c>
      <c r="C316" s="2" t="s">
        <v>1668</v>
      </c>
      <c r="D316" s="2" t="s">
        <v>705</v>
      </c>
      <c r="E316" s="2" t="s">
        <v>1669</v>
      </c>
      <c r="F316" s="2" t="s">
        <v>1531</v>
      </c>
      <c r="G316" s="2" t="s">
        <v>1532</v>
      </c>
      <c r="H316" s="2" t="s">
        <v>1591</v>
      </c>
      <c r="I316" s="2" t="s">
        <v>0</v>
      </c>
      <c r="J316" s="2" t="s">
        <v>1592</v>
      </c>
      <c r="K316" s="2" t="s">
        <v>0</v>
      </c>
      <c r="L316" s="2" t="s">
        <v>1535</v>
      </c>
      <c r="M316" s="2" t="s">
        <v>1536</v>
      </c>
      <c r="N316" s="2" t="s">
        <v>0</v>
      </c>
      <c r="O316" s="2" t="s">
        <v>13</v>
      </c>
      <c r="P316" s="2" t="s">
        <v>14</v>
      </c>
      <c r="Q316" s="2" t="s">
        <v>52</v>
      </c>
      <c r="R316" s="2" t="s">
        <v>53</v>
      </c>
      <c r="S316" s="2" t="s">
        <v>17</v>
      </c>
      <c r="T316" s="2" t="s">
        <v>18</v>
      </c>
      <c r="U316" s="2" t="s">
        <v>0</v>
      </c>
    </row>
    <row r="317" spans="1:21">
      <c r="A317" s="2" t="s">
        <v>1670</v>
      </c>
      <c r="B317" s="2" t="s">
        <v>3</v>
      </c>
      <c r="C317" s="2" t="s">
        <v>1671</v>
      </c>
      <c r="D317" s="2" t="s">
        <v>1672</v>
      </c>
      <c r="E317" s="2" t="s">
        <v>1673</v>
      </c>
      <c r="F317" s="2" t="s">
        <v>1531</v>
      </c>
      <c r="G317" s="2" t="s">
        <v>1532</v>
      </c>
      <c r="H317" s="2" t="s">
        <v>1591</v>
      </c>
      <c r="I317" s="2" t="s">
        <v>0</v>
      </c>
      <c r="J317" s="2" t="s">
        <v>1592</v>
      </c>
      <c r="K317" s="2" t="s">
        <v>0</v>
      </c>
      <c r="L317" s="2" t="s">
        <v>1535</v>
      </c>
      <c r="M317" s="2" t="s">
        <v>1536</v>
      </c>
      <c r="N317" s="2" t="s">
        <v>0</v>
      </c>
      <c r="O317" s="2" t="s">
        <v>13</v>
      </c>
      <c r="P317" s="2" t="s">
        <v>14</v>
      </c>
      <c r="Q317" s="2" t="s">
        <v>52</v>
      </c>
      <c r="R317" s="2" t="s">
        <v>53</v>
      </c>
      <c r="S317" s="2" t="s">
        <v>17</v>
      </c>
      <c r="T317" s="2" t="s">
        <v>18</v>
      </c>
      <c r="U317" s="2" t="s">
        <v>0</v>
      </c>
    </row>
    <row r="318" spans="1:21">
      <c r="A318" s="2" t="s">
        <v>1674</v>
      </c>
      <c r="B318" s="2" t="s">
        <v>3</v>
      </c>
      <c r="C318" s="2" t="s">
        <v>1675</v>
      </c>
      <c r="D318" s="2" t="s">
        <v>1676</v>
      </c>
      <c r="E318" s="2" t="s">
        <v>1677</v>
      </c>
      <c r="F318" s="2" t="s">
        <v>1678</v>
      </c>
      <c r="G318" s="2" t="s">
        <v>1679</v>
      </c>
      <c r="H318" s="2" t="s">
        <v>1680</v>
      </c>
      <c r="I318" s="2" t="s">
        <v>0</v>
      </c>
      <c r="J318" s="2" t="s">
        <v>1681</v>
      </c>
      <c r="K318" s="2" t="s">
        <v>0</v>
      </c>
      <c r="L318" s="2" t="s">
        <v>1535</v>
      </c>
      <c r="M318" s="2" t="s">
        <v>1536</v>
      </c>
      <c r="N318" s="2" t="s">
        <v>0</v>
      </c>
      <c r="O318" s="2" t="s">
        <v>13</v>
      </c>
      <c r="P318" s="2" t="s">
        <v>33</v>
      </c>
      <c r="Q318" s="2" t="s">
        <v>83</v>
      </c>
      <c r="R318" s="2" t="s">
        <v>34</v>
      </c>
      <c r="S318" s="2" t="s">
        <v>84</v>
      </c>
      <c r="T318" s="2" t="s">
        <v>18</v>
      </c>
      <c r="U318" s="2" t="s">
        <v>0</v>
      </c>
    </row>
    <row r="319" spans="1:21">
      <c r="A319" s="2" t="s">
        <v>1682</v>
      </c>
      <c r="B319" s="2" t="s">
        <v>3</v>
      </c>
      <c r="C319" s="2" t="s">
        <v>1683</v>
      </c>
      <c r="D319" s="2" t="s">
        <v>1684</v>
      </c>
      <c r="E319" s="2" t="s">
        <v>1685</v>
      </c>
      <c r="F319" s="2" t="s">
        <v>1531</v>
      </c>
      <c r="G319" s="2" t="s">
        <v>1532</v>
      </c>
      <c r="H319" s="2" t="s">
        <v>1680</v>
      </c>
      <c r="I319" s="2" t="s">
        <v>0</v>
      </c>
      <c r="J319" s="2" t="s">
        <v>1681</v>
      </c>
      <c r="K319" s="2" t="s">
        <v>0</v>
      </c>
      <c r="L319" s="2" t="s">
        <v>1535</v>
      </c>
      <c r="M319" s="2" t="s">
        <v>1536</v>
      </c>
      <c r="N319" s="2" t="s">
        <v>0</v>
      </c>
      <c r="O319" s="2" t="s">
        <v>13</v>
      </c>
      <c r="P319" s="2" t="s">
        <v>33</v>
      </c>
      <c r="Q319" s="2" t="s">
        <v>83</v>
      </c>
      <c r="R319" s="2" t="s">
        <v>34</v>
      </c>
      <c r="S319" s="2" t="s">
        <v>84</v>
      </c>
      <c r="T319" s="2" t="s">
        <v>18</v>
      </c>
      <c r="U319" s="2" t="s">
        <v>0</v>
      </c>
    </row>
    <row r="320" spans="1:21">
      <c r="A320" s="2" t="s">
        <v>1686</v>
      </c>
      <c r="B320" s="2" t="s">
        <v>3</v>
      </c>
      <c r="C320" s="2" t="s">
        <v>1687</v>
      </c>
      <c r="D320" s="2" t="s">
        <v>1688</v>
      </c>
      <c r="E320" s="2" t="s">
        <v>1689</v>
      </c>
      <c r="F320" s="2" t="s">
        <v>1531</v>
      </c>
      <c r="G320" s="2" t="s">
        <v>1532</v>
      </c>
      <c r="H320" s="2" t="s">
        <v>1680</v>
      </c>
      <c r="I320" s="2" t="s">
        <v>0</v>
      </c>
      <c r="J320" s="2" t="s">
        <v>1681</v>
      </c>
      <c r="K320" s="2" t="s">
        <v>0</v>
      </c>
      <c r="L320" s="2" t="s">
        <v>1535</v>
      </c>
      <c r="M320" s="2" t="s">
        <v>1536</v>
      </c>
      <c r="N320" s="2" t="s">
        <v>0</v>
      </c>
      <c r="O320" s="2" t="s">
        <v>13</v>
      </c>
      <c r="P320" s="2" t="s">
        <v>33</v>
      </c>
      <c r="Q320" s="2" t="s">
        <v>83</v>
      </c>
      <c r="R320" s="2" t="s">
        <v>34</v>
      </c>
      <c r="S320" s="2" t="s">
        <v>84</v>
      </c>
      <c r="T320" s="2" t="s">
        <v>18</v>
      </c>
      <c r="U320" s="2" t="s">
        <v>0</v>
      </c>
    </row>
    <row r="321" spans="1:21">
      <c r="A321" s="2" t="s">
        <v>1690</v>
      </c>
      <c r="B321" s="2" t="s">
        <v>3</v>
      </c>
      <c r="C321" s="2" t="s">
        <v>1691</v>
      </c>
      <c r="D321" s="2" t="s">
        <v>1692</v>
      </c>
      <c r="E321" s="2" t="s">
        <v>1693</v>
      </c>
      <c r="F321" s="2" t="s">
        <v>418</v>
      </c>
      <c r="G321" s="2" t="s">
        <v>419</v>
      </c>
      <c r="H321" s="2" t="s">
        <v>1680</v>
      </c>
      <c r="I321" s="2" t="s">
        <v>0</v>
      </c>
      <c r="J321" s="2" t="s">
        <v>1681</v>
      </c>
      <c r="K321" s="2" t="s">
        <v>0</v>
      </c>
      <c r="L321" s="2" t="s">
        <v>1535</v>
      </c>
      <c r="M321" s="2" t="s">
        <v>1536</v>
      </c>
      <c r="N321" s="2" t="s">
        <v>0</v>
      </c>
      <c r="O321" s="2" t="s">
        <v>13</v>
      </c>
      <c r="P321" s="2" t="s">
        <v>33</v>
      </c>
      <c r="Q321" s="2" t="s">
        <v>83</v>
      </c>
      <c r="R321" s="2" t="s">
        <v>34</v>
      </c>
      <c r="S321" s="2" t="s">
        <v>84</v>
      </c>
      <c r="T321" s="2" t="s">
        <v>18</v>
      </c>
      <c r="U321" s="2" t="s">
        <v>1694</v>
      </c>
    </row>
    <row r="322" spans="1:21">
      <c r="A322" s="2" t="s">
        <v>1695</v>
      </c>
      <c r="B322" s="2" t="s">
        <v>3</v>
      </c>
      <c r="C322" s="2" t="s">
        <v>1605</v>
      </c>
      <c r="D322" s="2" t="s">
        <v>1696</v>
      </c>
      <c r="E322" s="2" t="s">
        <v>1697</v>
      </c>
      <c r="F322" s="2" t="s">
        <v>203</v>
      </c>
      <c r="G322" s="2" t="s">
        <v>204</v>
      </c>
      <c r="H322" s="2" t="s">
        <v>1698</v>
      </c>
      <c r="I322" s="2" t="s">
        <v>0</v>
      </c>
      <c r="J322" s="2" t="s">
        <v>0</v>
      </c>
      <c r="K322" s="2" t="s">
        <v>0</v>
      </c>
      <c r="L322" s="2" t="s">
        <v>0</v>
      </c>
      <c r="M322" s="2" t="s">
        <v>1536</v>
      </c>
      <c r="N322" s="2" t="s">
        <v>0</v>
      </c>
      <c r="O322" s="2" t="s">
        <v>82</v>
      </c>
      <c r="P322" s="2" t="s">
        <v>33</v>
      </c>
      <c r="Q322" s="2" t="s">
        <v>83</v>
      </c>
      <c r="R322" s="2" t="s">
        <v>34</v>
      </c>
      <c r="S322" s="2" t="s">
        <v>84</v>
      </c>
      <c r="T322" s="2" t="s">
        <v>18</v>
      </c>
      <c r="U322" s="2" t="s">
        <v>0</v>
      </c>
    </row>
    <row r="323" spans="1:21">
      <c r="A323" s="2" t="s">
        <v>1699</v>
      </c>
      <c r="B323" s="2" t="s">
        <v>27</v>
      </c>
      <c r="C323" s="2" t="s">
        <v>1700</v>
      </c>
      <c r="D323" s="2" t="s">
        <v>1701</v>
      </c>
      <c r="E323" s="2" t="s">
        <v>1702</v>
      </c>
      <c r="F323" s="2" t="s">
        <v>1703</v>
      </c>
      <c r="G323" s="2" t="s">
        <v>1704</v>
      </c>
      <c r="H323" s="2" t="s">
        <v>1705</v>
      </c>
      <c r="I323" s="2" t="s">
        <v>0</v>
      </c>
      <c r="J323" s="2" t="s">
        <v>1706</v>
      </c>
      <c r="K323" s="2" t="s">
        <v>0</v>
      </c>
      <c r="L323" s="2" t="s">
        <v>1707</v>
      </c>
      <c r="M323" s="2" t="s">
        <v>1536</v>
      </c>
      <c r="N323" s="2" t="s">
        <v>0</v>
      </c>
      <c r="O323" s="2" t="s">
        <v>13</v>
      </c>
      <c r="P323" s="2" t="s">
        <v>33</v>
      </c>
      <c r="Q323" s="2" t="s">
        <v>214</v>
      </c>
      <c r="R323" s="2" t="s">
        <v>34</v>
      </c>
      <c r="S323" s="2" t="s">
        <v>84</v>
      </c>
      <c r="T323" s="2" t="s">
        <v>35</v>
      </c>
      <c r="U323" s="2" t="s">
        <v>0</v>
      </c>
    </row>
    <row r="324" spans="1:21">
      <c r="A324" s="2" t="s">
        <v>1708</v>
      </c>
      <c r="B324" s="2" t="s">
        <v>3</v>
      </c>
      <c r="C324" s="2" t="s">
        <v>1709</v>
      </c>
      <c r="D324" s="2" t="s">
        <v>1710</v>
      </c>
      <c r="E324" s="2" t="s">
        <v>1711</v>
      </c>
      <c r="F324" s="2" t="s">
        <v>1703</v>
      </c>
      <c r="G324" s="2" t="s">
        <v>1704</v>
      </c>
      <c r="H324" s="2" t="s">
        <v>1705</v>
      </c>
      <c r="I324" s="2" t="s">
        <v>0</v>
      </c>
      <c r="J324" s="2" t="s">
        <v>1706</v>
      </c>
      <c r="K324" s="2" t="s">
        <v>0</v>
      </c>
      <c r="L324" s="2" t="s">
        <v>1707</v>
      </c>
      <c r="M324" s="2" t="s">
        <v>1536</v>
      </c>
      <c r="N324" s="2" t="s">
        <v>0</v>
      </c>
      <c r="O324" s="2" t="s">
        <v>13</v>
      </c>
      <c r="P324" s="2" t="s">
        <v>33</v>
      </c>
      <c r="Q324" s="2" t="s">
        <v>214</v>
      </c>
      <c r="R324" s="2" t="s">
        <v>34</v>
      </c>
      <c r="S324" s="2" t="s">
        <v>205</v>
      </c>
      <c r="T324" s="2" t="s">
        <v>18</v>
      </c>
      <c r="U324" s="2" t="s">
        <v>0</v>
      </c>
    </row>
    <row r="325" spans="1:21">
      <c r="A325" s="2" t="s">
        <v>1712</v>
      </c>
      <c r="B325" s="2" t="s">
        <v>3</v>
      </c>
      <c r="C325" s="2" t="s">
        <v>1713</v>
      </c>
      <c r="D325" s="2" t="s">
        <v>1714</v>
      </c>
      <c r="E325" s="2" t="s">
        <v>1715</v>
      </c>
      <c r="F325" s="2" t="s">
        <v>1716</v>
      </c>
      <c r="G325" s="2" t="s">
        <v>1704</v>
      </c>
      <c r="H325" s="2" t="s">
        <v>1705</v>
      </c>
      <c r="I325" s="2" t="s">
        <v>0</v>
      </c>
      <c r="J325" s="2" t="s">
        <v>1706</v>
      </c>
      <c r="K325" s="2" t="s">
        <v>0</v>
      </c>
      <c r="L325" s="2" t="s">
        <v>1707</v>
      </c>
      <c r="M325" s="2" t="s">
        <v>1536</v>
      </c>
      <c r="N325" s="2" t="s">
        <v>0</v>
      </c>
      <c r="O325" s="2" t="s">
        <v>13</v>
      </c>
      <c r="P325" s="2" t="s">
        <v>33</v>
      </c>
      <c r="Q325" s="2" t="s">
        <v>214</v>
      </c>
      <c r="R325" s="2" t="s">
        <v>34</v>
      </c>
      <c r="S325" s="2" t="s">
        <v>205</v>
      </c>
      <c r="T325" s="2" t="s">
        <v>18</v>
      </c>
      <c r="U325" s="2" t="s">
        <v>0</v>
      </c>
    </row>
    <row r="326" spans="1:21">
      <c r="A326" s="2" t="s">
        <v>1717</v>
      </c>
      <c r="B326" s="2" t="s">
        <v>46</v>
      </c>
      <c r="C326" s="2" t="s">
        <v>1718</v>
      </c>
      <c r="D326" s="2" t="s">
        <v>1719</v>
      </c>
      <c r="E326" s="2" t="s">
        <v>1720</v>
      </c>
      <c r="F326" s="2" t="s">
        <v>1721</v>
      </c>
      <c r="G326" s="2" t="s">
        <v>1722</v>
      </c>
      <c r="H326" s="2" t="s">
        <v>1723</v>
      </c>
      <c r="I326" s="2" t="s">
        <v>0</v>
      </c>
      <c r="J326" s="2" t="s">
        <v>0</v>
      </c>
      <c r="K326" s="2" t="s">
        <v>0</v>
      </c>
      <c r="L326" s="2" t="s">
        <v>0</v>
      </c>
      <c r="M326" s="2" t="s">
        <v>1536</v>
      </c>
      <c r="N326" s="2" t="s">
        <v>0</v>
      </c>
      <c r="O326" s="2" t="s">
        <v>82</v>
      </c>
      <c r="P326" s="2" t="s">
        <v>33</v>
      </c>
      <c r="Q326" s="2" t="s">
        <v>214</v>
      </c>
      <c r="R326" s="2" t="s">
        <v>34</v>
      </c>
      <c r="S326" s="2" t="s">
        <v>84</v>
      </c>
      <c r="T326" s="2" t="s">
        <v>18</v>
      </c>
      <c r="U326" s="2" t="s">
        <v>0</v>
      </c>
    </row>
    <row r="327" spans="1:21">
      <c r="A327" s="2" t="s">
        <v>1724</v>
      </c>
      <c r="B327" s="2" t="s">
        <v>3</v>
      </c>
      <c r="C327" s="2" t="s">
        <v>1725</v>
      </c>
      <c r="D327" s="2" t="s">
        <v>1726</v>
      </c>
      <c r="E327" s="2" t="s">
        <v>1727</v>
      </c>
      <c r="F327" s="2" t="s">
        <v>203</v>
      </c>
      <c r="G327" s="2" t="s">
        <v>204</v>
      </c>
      <c r="H327" s="2" t="s">
        <v>1723</v>
      </c>
      <c r="I327" s="2" t="s">
        <v>0</v>
      </c>
      <c r="J327" s="2" t="s">
        <v>0</v>
      </c>
      <c r="K327" s="2" t="s">
        <v>0</v>
      </c>
      <c r="L327" s="2" t="s">
        <v>0</v>
      </c>
      <c r="M327" s="2" t="s">
        <v>1536</v>
      </c>
      <c r="N327" s="2" t="s">
        <v>0</v>
      </c>
      <c r="O327" s="2" t="s">
        <v>82</v>
      </c>
      <c r="P327" s="2" t="s">
        <v>33</v>
      </c>
      <c r="Q327" s="2" t="s">
        <v>214</v>
      </c>
      <c r="R327" s="2" t="s">
        <v>34</v>
      </c>
      <c r="S327" s="2" t="s">
        <v>84</v>
      </c>
      <c r="T327" s="2" t="s">
        <v>18</v>
      </c>
      <c r="U327" s="2" t="s">
        <v>0</v>
      </c>
    </row>
    <row r="328" spans="1:21">
      <c r="A328" s="2" t="s">
        <v>1728</v>
      </c>
      <c r="B328" s="2" t="s">
        <v>3</v>
      </c>
      <c r="C328" s="2" t="s">
        <v>1729</v>
      </c>
      <c r="D328" s="2" t="s">
        <v>1730</v>
      </c>
      <c r="E328" s="2" t="s">
        <v>1731</v>
      </c>
      <c r="F328" s="2" t="s">
        <v>1716</v>
      </c>
      <c r="G328" s="2" t="s">
        <v>1704</v>
      </c>
      <c r="H328" s="2" t="s">
        <v>1732</v>
      </c>
      <c r="I328" s="2" t="s">
        <v>0</v>
      </c>
      <c r="J328" s="2" t="s">
        <v>1733</v>
      </c>
      <c r="K328" s="2" t="s">
        <v>0</v>
      </c>
      <c r="L328" s="2" t="s">
        <v>1707</v>
      </c>
      <c r="M328" s="2" t="s">
        <v>1536</v>
      </c>
      <c r="N328" s="2" t="s">
        <v>0</v>
      </c>
      <c r="O328" s="2" t="s">
        <v>13</v>
      </c>
      <c r="P328" s="2" t="s">
        <v>33</v>
      </c>
      <c r="Q328" s="2" t="s">
        <v>0</v>
      </c>
      <c r="R328" s="2" t="s">
        <v>34</v>
      </c>
      <c r="S328" s="2" t="s">
        <v>205</v>
      </c>
      <c r="T328" s="2" t="s">
        <v>18</v>
      </c>
      <c r="U328" s="2" t="s">
        <v>0</v>
      </c>
    </row>
    <row r="329" spans="1:21">
      <c r="A329" s="2" t="s">
        <v>1734</v>
      </c>
      <c r="B329" s="2" t="s">
        <v>27</v>
      </c>
      <c r="C329" s="2" t="s">
        <v>1735</v>
      </c>
      <c r="D329" s="2" t="s">
        <v>1736</v>
      </c>
      <c r="E329" s="2" t="s">
        <v>1737</v>
      </c>
      <c r="F329" s="2" t="s">
        <v>1738</v>
      </c>
      <c r="G329" s="2" t="s">
        <v>1739</v>
      </c>
      <c r="H329" s="2" t="s">
        <v>1732</v>
      </c>
      <c r="I329" s="2" t="s">
        <v>0</v>
      </c>
      <c r="J329" s="2" t="s">
        <v>1733</v>
      </c>
      <c r="K329" s="2" t="s">
        <v>0</v>
      </c>
      <c r="L329" s="2" t="s">
        <v>1707</v>
      </c>
      <c r="M329" s="2" t="s">
        <v>1536</v>
      </c>
      <c r="N329" s="2" t="s">
        <v>0</v>
      </c>
      <c r="O329" s="2" t="s">
        <v>13</v>
      </c>
      <c r="P329" s="2" t="s">
        <v>33</v>
      </c>
      <c r="Q329" s="2" t="s">
        <v>214</v>
      </c>
      <c r="R329" s="2" t="s">
        <v>34</v>
      </c>
      <c r="S329" s="2" t="s">
        <v>84</v>
      </c>
      <c r="T329" s="2" t="s">
        <v>35</v>
      </c>
      <c r="U329" s="2" t="s">
        <v>0</v>
      </c>
    </row>
    <row r="330" spans="1:21">
      <c r="A330" s="2" t="s">
        <v>1740</v>
      </c>
      <c r="B330" s="2" t="s">
        <v>3</v>
      </c>
      <c r="C330" s="2" t="s">
        <v>1741</v>
      </c>
      <c r="D330" s="2" t="s">
        <v>1742</v>
      </c>
      <c r="E330" s="2" t="s">
        <v>1743</v>
      </c>
      <c r="F330" s="2" t="s">
        <v>1716</v>
      </c>
      <c r="G330" s="2" t="s">
        <v>1704</v>
      </c>
      <c r="H330" s="2" t="s">
        <v>1732</v>
      </c>
      <c r="I330" s="2" t="s">
        <v>0</v>
      </c>
      <c r="J330" s="2" t="s">
        <v>1733</v>
      </c>
      <c r="K330" s="2" t="s">
        <v>0</v>
      </c>
      <c r="L330" s="2" t="s">
        <v>1707</v>
      </c>
      <c r="M330" s="2" t="s">
        <v>1536</v>
      </c>
      <c r="N330" s="2" t="s">
        <v>0</v>
      </c>
      <c r="O330" s="2" t="s">
        <v>13</v>
      </c>
      <c r="P330" s="2" t="s">
        <v>33</v>
      </c>
      <c r="Q330" s="2" t="s">
        <v>214</v>
      </c>
      <c r="R330" s="2" t="s">
        <v>34</v>
      </c>
      <c r="S330" s="2" t="s">
        <v>84</v>
      </c>
      <c r="T330" s="2" t="s">
        <v>18</v>
      </c>
      <c r="U330" s="2" t="s">
        <v>0</v>
      </c>
    </row>
    <row r="331" spans="1:21">
      <c r="A331" s="2" t="s">
        <v>1744</v>
      </c>
      <c r="B331" s="2" t="s">
        <v>3</v>
      </c>
      <c r="C331" s="2" t="s">
        <v>1745</v>
      </c>
      <c r="D331" s="2" t="s">
        <v>1746</v>
      </c>
      <c r="E331" s="2" t="s">
        <v>1747</v>
      </c>
      <c r="F331" s="2" t="s">
        <v>1703</v>
      </c>
      <c r="G331" s="2" t="s">
        <v>1704</v>
      </c>
      <c r="H331" s="2" t="s">
        <v>1732</v>
      </c>
      <c r="I331" s="2" t="s">
        <v>0</v>
      </c>
      <c r="J331" s="2" t="s">
        <v>1733</v>
      </c>
      <c r="K331" s="2" t="s">
        <v>0</v>
      </c>
      <c r="L331" s="2" t="s">
        <v>1707</v>
      </c>
      <c r="M331" s="2" t="s">
        <v>1536</v>
      </c>
      <c r="N331" s="2" t="s">
        <v>0</v>
      </c>
      <c r="O331" s="2" t="s">
        <v>13</v>
      </c>
      <c r="P331" s="2" t="s">
        <v>33</v>
      </c>
      <c r="Q331" s="2" t="s">
        <v>214</v>
      </c>
      <c r="R331" s="2" t="s">
        <v>34</v>
      </c>
      <c r="S331" s="2" t="s">
        <v>205</v>
      </c>
      <c r="T331" s="2" t="s">
        <v>18</v>
      </c>
      <c r="U331" s="2" t="s">
        <v>0</v>
      </c>
    </row>
    <row r="332" spans="1:21">
      <c r="A332" s="2" t="s">
        <v>1748</v>
      </c>
      <c r="B332" s="2" t="s">
        <v>27</v>
      </c>
      <c r="C332" s="2" t="s">
        <v>1749</v>
      </c>
      <c r="D332" s="2" t="s">
        <v>1750</v>
      </c>
      <c r="E332" s="2" t="s">
        <v>1751</v>
      </c>
      <c r="F332" s="2" t="s">
        <v>1752</v>
      </c>
      <c r="G332" s="2" t="s">
        <v>1753</v>
      </c>
      <c r="H332" s="2" t="s">
        <v>1754</v>
      </c>
      <c r="I332" s="2" t="s">
        <v>0</v>
      </c>
      <c r="J332" s="2" t="s">
        <v>1755</v>
      </c>
      <c r="K332" s="2" t="s">
        <v>0</v>
      </c>
      <c r="L332" s="2" t="s">
        <v>1756</v>
      </c>
      <c r="M332" s="2" t="s">
        <v>1536</v>
      </c>
      <c r="N332" s="2" t="s">
        <v>0</v>
      </c>
      <c r="O332" s="2" t="s">
        <v>13</v>
      </c>
      <c r="P332" s="2" t="s">
        <v>33</v>
      </c>
      <c r="Q332" s="2" t="s">
        <v>0</v>
      </c>
      <c r="R332" s="2" t="s">
        <v>34</v>
      </c>
      <c r="S332" s="2" t="s">
        <v>84</v>
      </c>
      <c r="T332" s="2" t="s">
        <v>35</v>
      </c>
      <c r="U332" s="2" t="s">
        <v>0</v>
      </c>
    </row>
    <row r="333" spans="1:21">
      <c r="A333" s="2" t="s">
        <v>1757</v>
      </c>
      <c r="B333" s="2" t="s">
        <v>27</v>
      </c>
      <c r="C333" s="2" t="s">
        <v>1758</v>
      </c>
      <c r="D333" s="2" t="s">
        <v>1759</v>
      </c>
      <c r="E333" s="2" t="s">
        <v>1760</v>
      </c>
      <c r="F333" s="2" t="s">
        <v>418</v>
      </c>
      <c r="G333" s="2" t="s">
        <v>419</v>
      </c>
      <c r="H333" s="2" t="s">
        <v>1754</v>
      </c>
      <c r="I333" s="2" t="s">
        <v>0</v>
      </c>
      <c r="J333" s="2" t="s">
        <v>1755</v>
      </c>
      <c r="K333" s="2" t="s">
        <v>0</v>
      </c>
      <c r="L333" s="2" t="s">
        <v>1756</v>
      </c>
      <c r="M333" s="2" t="s">
        <v>1536</v>
      </c>
      <c r="N333" s="2" t="s">
        <v>0</v>
      </c>
      <c r="O333" s="2" t="s">
        <v>13</v>
      </c>
      <c r="P333" s="2" t="s">
        <v>33</v>
      </c>
      <c r="Q333" s="2" t="s">
        <v>214</v>
      </c>
      <c r="R333" s="2" t="s">
        <v>34</v>
      </c>
      <c r="S333" s="2" t="s">
        <v>205</v>
      </c>
      <c r="T333" s="2" t="s">
        <v>35</v>
      </c>
      <c r="U333" s="2" t="s">
        <v>0</v>
      </c>
    </row>
    <row r="334" spans="1:21">
      <c r="A334" s="2" t="s">
        <v>1761</v>
      </c>
      <c r="B334" s="2" t="s">
        <v>3</v>
      </c>
      <c r="C334" s="2" t="s">
        <v>1762</v>
      </c>
      <c r="D334" s="2" t="s">
        <v>1763</v>
      </c>
      <c r="E334" s="2" t="s">
        <v>1764</v>
      </c>
      <c r="F334" s="2" t="s">
        <v>1765</v>
      </c>
      <c r="G334" s="2" t="s">
        <v>1766</v>
      </c>
      <c r="H334" s="2" t="s">
        <v>1767</v>
      </c>
      <c r="I334" s="2" t="s">
        <v>0</v>
      </c>
      <c r="J334" s="2" t="s">
        <v>0</v>
      </c>
      <c r="K334" s="2" t="s">
        <v>0</v>
      </c>
      <c r="L334" s="2" t="s">
        <v>0</v>
      </c>
      <c r="M334" s="2" t="s">
        <v>1536</v>
      </c>
      <c r="N334" s="2" t="s">
        <v>0</v>
      </c>
      <c r="O334" s="2" t="s">
        <v>82</v>
      </c>
      <c r="P334" s="2" t="s">
        <v>33</v>
      </c>
      <c r="Q334" s="2" t="s">
        <v>83</v>
      </c>
      <c r="R334" s="2" t="s">
        <v>34</v>
      </c>
      <c r="S334" s="2" t="s">
        <v>84</v>
      </c>
      <c r="T334" s="2" t="s">
        <v>18</v>
      </c>
      <c r="U334" s="2" t="s">
        <v>1768</v>
      </c>
    </row>
    <row r="335" spans="1:21">
      <c r="A335" s="2" t="s">
        <v>1769</v>
      </c>
      <c r="B335" s="2" t="s">
        <v>3</v>
      </c>
      <c r="C335" s="2" t="s">
        <v>1770</v>
      </c>
      <c r="D335" s="2" t="s">
        <v>1771</v>
      </c>
      <c r="E335" s="2" t="s">
        <v>1772</v>
      </c>
      <c r="F335" s="2" t="s">
        <v>1773</v>
      </c>
      <c r="G335" s="2" t="s">
        <v>1774</v>
      </c>
      <c r="H335" s="2" t="s">
        <v>1775</v>
      </c>
      <c r="I335" s="2" t="s">
        <v>0</v>
      </c>
      <c r="J335" s="2" t="s">
        <v>1776</v>
      </c>
      <c r="K335" s="2" t="s">
        <v>0</v>
      </c>
      <c r="L335" s="2" t="s">
        <v>1707</v>
      </c>
      <c r="M335" s="2" t="s">
        <v>1536</v>
      </c>
      <c r="N335" s="2" t="s">
        <v>0</v>
      </c>
      <c r="O335" s="2" t="s">
        <v>13</v>
      </c>
      <c r="P335" s="2" t="s">
        <v>33</v>
      </c>
      <c r="Q335" s="2" t="s">
        <v>83</v>
      </c>
      <c r="R335" s="2" t="s">
        <v>34</v>
      </c>
      <c r="S335" s="2" t="s">
        <v>84</v>
      </c>
      <c r="T335" s="2" t="s">
        <v>18</v>
      </c>
      <c r="U335" s="2" t="s">
        <v>1777</v>
      </c>
    </row>
    <row r="336" spans="1:21">
      <c r="A336" s="2" t="s">
        <v>1778</v>
      </c>
      <c r="B336" s="2" t="s">
        <v>3</v>
      </c>
      <c r="C336" s="2" t="s">
        <v>1779</v>
      </c>
      <c r="D336" s="2" t="s">
        <v>1780</v>
      </c>
      <c r="E336" s="2" t="s">
        <v>1781</v>
      </c>
      <c r="F336" s="2" t="s">
        <v>1531</v>
      </c>
      <c r="G336" s="2" t="s">
        <v>1532</v>
      </c>
      <c r="H336" s="2" t="s">
        <v>1775</v>
      </c>
      <c r="I336" s="2" t="s">
        <v>0</v>
      </c>
      <c r="J336" s="2" t="s">
        <v>1776</v>
      </c>
      <c r="K336" s="2" t="s">
        <v>0</v>
      </c>
      <c r="L336" s="2" t="s">
        <v>1707</v>
      </c>
      <c r="M336" s="2" t="s">
        <v>1536</v>
      </c>
      <c r="N336" s="2" t="s">
        <v>0</v>
      </c>
      <c r="O336" s="2" t="s">
        <v>13</v>
      </c>
      <c r="P336" s="2" t="s">
        <v>33</v>
      </c>
      <c r="Q336" s="2" t="s">
        <v>83</v>
      </c>
      <c r="R336" s="2" t="s">
        <v>34</v>
      </c>
      <c r="S336" s="2" t="s">
        <v>84</v>
      </c>
      <c r="T336" s="2" t="s">
        <v>18</v>
      </c>
      <c r="U336" s="2" t="s">
        <v>0</v>
      </c>
    </row>
    <row r="337" spans="1:21">
      <c r="A337" s="2" t="s">
        <v>1782</v>
      </c>
      <c r="B337" s="2" t="s">
        <v>46</v>
      </c>
      <c r="C337" s="2" t="s">
        <v>1783</v>
      </c>
      <c r="D337" s="2" t="s">
        <v>1784</v>
      </c>
      <c r="E337" s="2" t="s">
        <v>1785</v>
      </c>
      <c r="F337" s="2" t="s">
        <v>418</v>
      </c>
      <c r="G337" s="2" t="s">
        <v>419</v>
      </c>
      <c r="H337" s="2" t="s">
        <v>1775</v>
      </c>
      <c r="I337" s="2" t="s">
        <v>0</v>
      </c>
      <c r="J337" s="2" t="s">
        <v>1776</v>
      </c>
      <c r="K337" s="2" t="s">
        <v>0</v>
      </c>
      <c r="L337" s="2" t="s">
        <v>1707</v>
      </c>
      <c r="M337" s="2" t="s">
        <v>1536</v>
      </c>
      <c r="N337" s="2" t="s">
        <v>0</v>
      </c>
      <c r="O337" s="2" t="s">
        <v>13</v>
      </c>
      <c r="P337" s="2" t="s">
        <v>33</v>
      </c>
      <c r="Q337" s="2" t="s">
        <v>83</v>
      </c>
      <c r="R337" s="2" t="s">
        <v>34</v>
      </c>
      <c r="S337" s="2" t="s">
        <v>205</v>
      </c>
      <c r="T337" s="2" t="s">
        <v>18</v>
      </c>
      <c r="U337" s="2" t="s">
        <v>0</v>
      </c>
    </row>
    <row r="338" spans="1:21">
      <c r="A338" s="2" t="s">
        <v>1786</v>
      </c>
      <c r="B338" s="2" t="s">
        <v>27</v>
      </c>
      <c r="C338" s="2" t="s">
        <v>1787</v>
      </c>
      <c r="D338" s="2" t="s">
        <v>1788</v>
      </c>
      <c r="E338" s="2" t="s">
        <v>1789</v>
      </c>
      <c r="F338" s="2" t="s">
        <v>1790</v>
      </c>
      <c r="G338" s="2" t="s">
        <v>1791</v>
      </c>
      <c r="H338" s="2" t="s">
        <v>1792</v>
      </c>
      <c r="I338" s="2" t="s">
        <v>0</v>
      </c>
      <c r="J338" s="2" t="s">
        <v>1793</v>
      </c>
      <c r="K338" s="2" t="s">
        <v>0</v>
      </c>
      <c r="L338" s="2" t="s">
        <v>1756</v>
      </c>
      <c r="M338" s="2" t="s">
        <v>1536</v>
      </c>
      <c r="N338" s="2" t="s">
        <v>0</v>
      </c>
      <c r="O338" s="2" t="s">
        <v>13</v>
      </c>
      <c r="P338" s="2" t="s">
        <v>33</v>
      </c>
      <c r="Q338" s="2" t="s">
        <v>214</v>
      </c>
      <c r="R338" s="2" t="s">
        <v>34</v>
      </c>
      <c r="S338" s="2" t="s">
        <v>84</v>
      </c>
      <c r="T338" s="2" t="s">
        <v>35</v>
      </c>
      <c r="U338" s="2" t="s">
        <v>0</v>
      </c>
    </row>
    <row r="339" spans="1:21">
      <c r="A339" s="2" t="s">
        <v>1794</v>
      </c>
      <c r="B339" s="2" t="s">
        <v>3</v>
      </c>
      <c r="C339" s="2" t="s">
        <v>1795</v>
      </c>
      <c r="D339" s="2" t="s">
        <v>1796</v>
      </c>
      <c r="E339" s="2" t="s">
        <v>1797</v>
      </c>
      <c r="F339" s="2" t="s">
        <v>1703</v>
      </c>
      <c r="G339" s="2" t="s">
        <v>1704</v>
      </c>
      <c r="H339" s="2" t="s">
        <v>1792</v>
      </c>
      <c r="I339" s="2" t="s">
        <v>0</v>
      </c>
      <c r="J339" s="2" t="s">
        <v>1793</v>
      </c>
      <c r="K339" s="2" t="s">
        <v>0</v>
      </c>
      <c r="L339" s="2" t="s">
        <v>1756</v>
      </c>
      <c r="M339" s="2" t="s">
        <v>1536</v>
      </c>
      <c r="N339" s="2" t="s">
        <v>0</v>
      </c>
      <c r="O339" s="2" t="s">
        <v>13</v>
      </c>
      <c r="P339" s="2" t="s">
        <v>33</v>
      </c>
      <c r="Q339" s="2" t="s">
        <v>214</v>
      </c>
      <c r="R339" s="2" t="s">
        <v>34</v>
      </c>
      <c r="S339" s="2" t="s">
        <v>84</v>
      </c>
      <c r="T339" s="2" t="s">
        <v>18</v>
      </c>
      <c r="U339" s="2" t="s">
        <v>0</v>
      </c>
    </row>
    <row r="340" spans="1:21">
      <c r="A340" s="2" t="s">
        <v>1798</v>
      </c>
      <c r="B340" s="2" t="s">
        <v>46</v>
      </c>
      <c r="C340" s="2" t="s">
        <v>1799</v>
      </c>
      <c r="D340" s="2" t="s">
        <v>1800</v>
      </c>
      <c r="E340" s="2" t="s">
        <v>1801</v>
      </c>
      <c r="F340" s="2" t="s">
        <v>1802</v>
      </c>
      <c r="G340" s="2" t="s">
        <v>1803</v>
      </c>
      <c r="H340" s="2" t="s">
        <v>1804</v>
      </c>
      <c r="I340" s="2" t="s">
        <v>0</v>
      </c>
      <c r="J340" s="2" t="s">
        <v>0</v>
      </c>
      <c r="K340" s="2" t="s">
        <v>0</v>
      </c>
      <c r="L340" s="2" t="s">
        <v>0</v>
      </c>
      <c r="M340" s="2" t="s">
        <v>1536</v>
      </c>
      <c r="N340" s="2" t="s">
        <v>0</v>
      </c>
      <c r="O340" s="2" t="s">
        <v>82</v>
      </c>
      <c r="P340" s="2" t="s">
        <v>33</v>
      </c>
      <c r="Q340" s="2" t="s">
        <v>214</v>
      </c>
      <c r="R340" s="2" t="s">
        <v>34</v>
      </c>
      <c r="S340" s="2" t="s">
        <v>84</v>
      </c>
      <c r="T340" s="2" t="s">
        <v>18</v>
      </c>
      <c r="U340" s="2" t="s">
        <v>1805</v>
      </c>
    </row>
    <row r="341" spans="1:21">
      <c r="A341" s="2" t="s">
        <v>1806</v>
      </c>
      <c r="B341" s="2" t="s">
        <v>3</v>
      </c>
      <c r="C341" s="2" t="s">
        <v>1807</v>
      </c>
      <c r="D341" s="2" t="s">
        <v>1808</v>
      </c>
      <c r="E341" s="2" t="s">
        <v>1809</v>
      </c>
      <c r="F341" s="2" t="s">
        <v>203</v>
      </c>
      <c r="G341" s="2" t="s">
        <v>204</v>
      </c>
      <c r="H341" s="2" t="s">
        <v>1804</v>
      </c>
      <c r="I341" s="2" t="s">
        <v>0</v>
      </c>
      <c r="J341" s="2" t="s">
        <v>0</v>
      </c>
      <c r="K341" s="2" t="s">
        <v>0</v>
      </c>
      <c r="L341" s="2" t="s">
        <v>0</v>
      </c>
      <c r="M341" s="2" t="s">
        <v>1536</v>
      </c>
      <c r="N341" s="2" t="s">
        <v>0</v>
      </c>
      <c r="O341" s="2" t="s">
        <v>82</v>
      </c>
      <c r="P341" s="2" t="s">
        <v>33</v>
      </c>
      <c r="Q341" s="2" t="s">
        <v>214</v>
      </c>
      <c r="R341" s="2" t="s">
        <v>34</v>
      </c>
      <c r="S341" s="2" t="s">
        <v>84</v>
      </c>
      <c r="T341" s="2" t="s">
        <v>18</v>
      </c>
      <c r="U341" s="2" t="s">
        <v>0</v>
      </c>
    </row>
    <row r="342" spans="1:21">
      <c r="A342" s="2" t="s">
        <v>1810</v>
      </c>
      <c r="B342" s="2" t="s">
        <v>27</v>
      </c>
      <c r="C342" s="2" t="s">
        <v>1811</v>
      </c>
      <c r="D342" s="2" t="s">
        <v>1812</v>
      </c>
      <c r="E342" s="2" t="s">
        <v>1813</v>
      </c>
      <c r="F342" s="2" t="s">
        <v>1814</v>
      </c>
      <c r="G342" s="2" t="s">
        <v>1815</v>
      </c>
      <c r="H342" s="2" t="s">
        <v>1816</v>
      </c>
      <c r="I342" s="2" t="s">
        <v>0</v>
      </c>
      <c r="J342" s="2" t="s">
        <v>1817</v>
      </c>
      <c r="K342" s="2" t="s">
        <v>0</v>
      </c>
      <c r="L342" s="2" t="s">
        <v>1756</v>
      </c>
      <c r="M342" s="2" t="s">
        <v>1536</v>
      </c>
      <c r="N342" s="2" t="s">
        <v>0</v>
      </c>
      <c r="O342" s="2" t="s">
        <v>13</v>
      </c>
      <c r="P342" s="2" t="s">
        <v>33</v>
      </c>
      <c r="Q342" s="2" t="s">
        <v>214</v>
      </c>
      <c r="R342" s="2" t="s">
        <v>34</v>
      </c>
      <c r="S342" s="2" t="s">
        <v>84</v>
      </c>
      <c r="T342" s="2" t="s">
        <v>35</v>
      </c>
      <c r="U342" s="2" t="s">
        <v>0</v>
      </c>
    </row>
    <row r="343" spans="1:21">
      <c r="A343" s="2" t="s">
        <v>1818</v>
      </c>
      <c r="B343" s="2" t="s">
        <v>3</v>
      </c>
      <c r="C343" s="2" t="s">
        <v>1819</v>
      </c>
      <c r="D343" s="2" t="s">
        <v>1820</v>
      </c>
      <c r="E343" s="2" t="s">
        <v>1821</v>
      </c>
      <c r="F343" s="2" t="s">
        <v>1822</v>
      </c>
      <c r="G343" s="2" t="s">
        <v>1823</v>
      </c>
      <c r="H343" s="2" t="s">
        <v>1816</v>
      </c>
      <c r="I343" s="2" t="s">
        <v>0</v>
      </c>
      <c r="J343" s="2" t="s">
        <v>1817</v>
      </c>
      <c r="K343" s="2" t="s">
        <v>0</v>
      </c>
      <c r="L343" s="2" t="s">
        <v>1756</v>
      </c>
      <c r="M343" s="2" t="s">
        <v>1536</v>
      </c>
      <c r="N343" s="2" t="s">
        <v>0</v>
      </c>
      <c r="O343" s="2" t="s">
        <v>13</v>
      </c>
      <c r="P343" s="2" t="s">
        <v>33</v>
      </c>
      <c r="Q343" s="2" t="s">
        <v>214</v>
      </c>
      <c r="R343" s="2" t="s">
        <v>34</v>
      </c>
      <c r="S343" s="2" t="s">
        <v>84</v>
      </c>
      <c r="T343" s="2" t="s">
        <v>18</v>
      </c>
      <c r="U343" s="2" t="s">
        <v>0</v>
      </c>
    </row>
    <row r="344" spans="1:21">
      <c r="A344" s="2" t="s">
        <v>1824</v>
      </c>
      <c r="B344" s="2" t="s">
        <v>3</v>
      </c>
      <c r="C344" s="2" t="s">
        <v>1825</v>
      </c>
      <c r="D344" s="2" t="s">
        <v>1826</v>
      </c>
      <c r="E344" s="2" t="s">
        <v>1827</v>
      </c>
      <c r="F344" s="2" t="s">
        <v>1822</v>
      </c>
      <c r="G344" s="2" t="s">
        <v>1823</v>
      </c>
      <c r="H344" s="2" t="s">
        <v>1816</v>
      </c>
      <c r="I344" s="2" t="s">
        <v>0</v>
      </c>
      <c r="J344" s="2" t="s">
        <v>1817</v>
      </c>
      <c r="K344" s="2" t="s">
        <v>0</v>
      </c>
      <c r="L344" s="2" t="s">
        <v>1756</v>
      </c>
      <c r="M344" s="2" t="s">
        <v>1536</v>
      </c>
      <c r="N344" s="2" t="s">
        <v>0</v>
      </c>
      <c r="O344" s="2" t="s">
        <v>13</v>
      </c>
      <c r="P344" s="2" t="s">
        <v>33</v>
      </c>
      <c r="Q344" s="2" t="s">
        <v>214</v>
      </c>
      <c r="R344" s="2" t="s">
        <v>34</v>
      </c>
      <c r="S344" s="2" t="s">
        <v>84</v>
      </c>
      <c r="T344" s="2" t="s">
        <v>18</v>
      </c>
      <c r="U344" s="2" t="s">
        <v>0</v>
      </c>
    </row>
    <row r="345" spans="1:21">
      <c r="A345" s="2" t="s">
        <v>1828</v>
      </c>
      <c r="B345" s="2" t="s">
        <v>3</v>
      </c>
      <c r="C345" s="2" t="s">
        <v>1829</v>
      </c>
      <c r="D345" s="2" t="s">
        <v>1830</v>
      </c>
      <c r="E345" s="2" t="s">
        <v>1831</v>
      </c>
      <c r="F345" s="2" t="s">
        <v>1832</v>
      </c>
      <c r="G345" s="2" t="s">
        <v>1833</v>
      </c>
      <c r="H345" s="2" t="s">
        <v>1816</v>
      </c>
      <c r="I345" s="2" t="s">
        <v>0</v>
      </c>
      <c r="J345" s="2" t="s">
        <v>1817</v>
      </c>
      <c r="K345" s="2" t="s">
        <v>0</v>
      </c>
      <c r="L345" s="2" t="s">
        <v>1756</v>
      </c>
      <c r="M345" s="2" t="s">
        <v>1536</v>
      </c>
      <c r="N345" s="2" t="s">
        <v>0</v>
      </c>
      <c r="O345" s="2" t="s">
        <v>13</v>
      </c>
      <c r="P345" s="2" t="s">
        <v>33</v>
      </c>
      <c r="Q345" s="2" t="s">
        <v>214</v>
      </c>
      <c r="R345" s="2" t="s">
        <v>34</v>
      </c>
      <c r="S345" s="2" t="s">
        <v>84</v>
      </c>
      <c r="T345" s="2" t="s">
        <v>18</v>
      </c>
      <c r="U345" s="2" t="s">
        <v>0</v>
      </c>
    </row>
    <row r="346" spans="1:21">
      <c r="A346" s="2" t="s">
        <v>1834</v>
      </c>
      <c r="B346" s="2" t="s">
        <v>3</v>
      </c>
      <c r="C346" s="2" t="s">
        <v>1835</v>
      </c>
      <c r="D346" s="2" t="s">
        <v>1836</v>
      </c>
      <c r="E346" s="2" t="s">
        <v>1837</v>
      </c>
      <c r="F346" s="2" t="s">
        <v>418</v>
      </c>
      <c r="G346" s="2" t="s">
        <v>419</v>
      </c>
      <c r="H346" s="2" t="s">
        <v>1838</v>
      </c>
      <c r="I346" s="2" t="s">
        <v>0</v>
      </c>
      <c r="J346" s="2" t="s">
        <v>1839</v>
      </c>
      <c r="K346" s="2" t="s">
        <v>0</v>
      </c>
      <c r="L346" s="2" t="s">
        <v>0</v>
      </c>
      <c r="M346" s="2" t="s">
        <v>1536</v>
      </c>
      <c r="N346" s="2" t="s">
        <v>0</v>
      </c>
      <c r="O346" s="2" t="s">
        <v>82</v>
      </c>
      <c r="P346" s="2" t="s">
        <v>33</v>
      </c>
      <c r="Q346" s="2" t="s">
        <v>83</v>
      </c>
      <c r="R346" s="2" t="s">
        <v>34</v>
      </c>
      <c r="S346" s="2" t="s">
        <v>84</v>
      </c>
      <c r="T346" s="2" t="s">
        <v>18</v>
      </c>
      <c r="U346" s="2" t="s">
        <v>0</v>
      </c>
    </row>
    <row r="347" spans="1:21">
      <c r="A347" s="2" t="s">
        <v>1840</v>
      </c>
      <c r="B347" s="2" t="s">
        <v>3</v>
      </c>
      <c r="C347" s="2" t="s">
        <v>1841</v>
      </c>
      <c r="D347" s="2" t="s">
        <v>1842</v>
      </c>
      <c r="E347" s="2" t="s">
        <v>1843</v>
      </c>
      <c r="F347" s="2" t="s">
        <v>1703</v>
      </c>
      <c r="G347" s="2" t="s">
        <v>1704</v>
      </c>
      <c r="H347" s="2" t="s">
        <v>1838</v>
      </c>
      <c r="I347" s="2" t="s">
        <v>0</v>
      </c>
      <c r="J347" s="2" t="s">
        <v>1839</v>
      </c>
      <c r="K347" s="2" t="s">
        <v>0</v>
      </c>
      <c r="L347" s="2" t="s">
        <v>0</v>
      </c>
      <c r="M347" s="2" t="s">
        <v>1536</v>
      </c>
      <c r="N347" s="2" t="s">
        <v>0</v>
      </c>
      <c r="O347" s="2" t="s">
        <v>82</v>
      </c>
      <c r="P347" s="2" t="s">
        <v>33</v>
      </c>
      <c r="Q347" s="2" t="s">
        <v>83</v>
      </c>
      <c r="R347" s="2" t="s">
        <v>34</v>
      </c>
      <c r="S347" s="2" t="s">
        <v>84</v>
      </c>
      <c r="T347" s="2" t="s">
        <v>18</v>
      </c>
      <c r="U347" s="2" t="s">
        <v>0</v>
      </c>
    </row>
    <row r="348" spans="1:21">
      <c r="A348" s="2" t="s">
        <v>1844</v>
      </c>
      <c r="B348" s="2" t="s">
        <v>3</v>
      </c>
      <c r="C348" s="2" t="s">
        <v>1845</v>
      </c>
      <c r="D348" s="2" t="s">
        <v>1846</v>
      </c>
      <c r="E348" s="2" t="s">
        <v>1847</v>
      </c>
      <c r="F348" s="2" t="s">
        <v>1703</v>
      </c>
      <c r="G348" s="2" t="s">
        <v>1704</v>
      </c>
      <c r="H348" s="2" t="s">
        <v>1838</v>
      </c>
      <c r="I348" s="2" t="s">
        <v>0</v>
      </c>
      <c r="J348" s="2" t="s">
        <v>1839</v>
      </c>
      <c r="K348" s="2" t="s">
        <v>0</v>
      </c>
      <c r="L348" s="2" t="s">
        <v>0</v>
      </c>
      <c r="M348" s="2" t="s">
        <v>1536</v>
      </c>
      <c r="N348" s="2" t="s">
        <v>0</v>
      </c>
      <c r="O348" s="2" t="s">
        <v>82</v>
      </c>
      <c r="P348" s="2" t="s">
        <v>33</v>
      </c>
      <c r="Q348" s="2" t="s">
        <v>83</v>
      </c>
      <c r="R348" s="2" t="s">
        <v>34</v>
      </c>
      <c r="S348" s="2" t="s">
        <v>84</v>
      </c>
      <c r="T348" s="2" t="s">
        <v>18</v>
      </c>
      <c r="U348" s="2" t="s">
        <v>0</v>
      </c>
    </row>
    <row r="349" spans="1:21">
      <c r="A349" s="2" t="s">
        <v>1848</v>
      </c>
      <c r="B349" s="2" t="s">
        <v>3</v>
      </c>
      <c r="C349" s="2" t="s">
        <v>1849</v>
      </c>
      <c r="D349" s="2" t="s">
        <v>1850</v>
      </c>
      <c r="E349" s="2" t="s">
        <v>1851</v>
      </c>
      <c r="F349" s="2" t="s">
        <v>1716</v>
      </c>
      <c r="G349" s="2" t="s">
        <v>1704</v>
      </c>
      <c r="H349" s="2" t="s">
        <v>1838</v>
      </c>
      <c r="I349" s="2" t="s">
        <v>0</v>
      </c>
      <c r="J349" s="2" t="s">
        <v>1839</v>
      </c>
      <c r="K349" s="2" t="s">
        <v>0</v>
      </c>
      <c r="L349" s="2" t="s">
        <v>0</v>
      </c>
      <c r="M349" s="2" t="s">
        <v>1536</v>
      </c>
      <c r="N349" s="2" t="s">
        <v>0</v>
      </c>
      <c r="O349" s="2" t="s">
        <v>82</v>
      </c>
      <c r="P349" s="2" t="s">
        <v>33</v>
      </c>
      <c r="Q349" s="2" t="s">
        <v>214</v>
      </c>
      <c r="R349" s="2" t="s">
        <v>34</v>
      </c>
      <c r="S349" s="2" t="s">
        <v>84</v>
      </c>
      <c r="T349" s="2" t="s">
        <v>18</v>
      </c>
      <c r="U349" s="2" t="s">
        <v>0</v>
      </c>
    </row>
    <row r="350" spans="1:21">
      <c r="A350" s="2" t="s">
        <v>1852</v>
      </c>
      <c r="B350" s="2" t="s">
        <v>46</v>
      </c>
      <c r="C350" s="2" t="s">
        <v>1853</v>
      </c>
      <c r="D350" s="2" t="s">
        <v>1854</v>
      </c>
      <c r="E350" s="2" t="s">
        <v>1855</v>
      </c>
      <c r="F350" s="2" t="s">
        <v>1716</v>
      </c>
      <c r="G350" s="2" t="s">
        <v>1704</v>
      </c>
      <c r="H350" s="2" t="s">
        <v>1838</v>
      </c>
      <c r="I350" s="2" t="s">
        <v>0</v>
      </c>
      <c r="J350" s="2" t="s">
        <v>1839</v>
      </c>
      <c r="K350" s="2" t="s">
        <v>0</v>
      </c>
      <c r="L350" s="2" t="s">
        <v>0</v>
      </c>
      <c r="M350" s="2" t="s">
        <v>1536</v>
      </c>
      <c r="N350" s="2" t="s">
        <v>0</v>
      </c>
      <c r="O350" s="2" t="s">
        <v>82</v>
      </c>
      <c r="P350" s="2" t="s">
        <v>33</v>
      </c>
      <c r="Q350" s="2" t="s">
        <v>214</v>
      </c>
      <c r="R350" s="2" t="s">
        <v>34</v>
      </c>
      <c r="S350" s="2" t="s">
        <v>84</v>
      </c>
      <c r="T350" s="2" t="s">
        <v>18</v>
      </c>
      <c r="U350" s="2" t="s">
        <v>0</v>
      </c>
    </row>
    <row r="351" spans="1:21">
      <c r="A351" s="2" t="s">
        <v>1856</v>
      </c>
      <c r="B351" s="2" t="s">
        <v>46</v>
      </c>
      <c r="C351" s="2" t="s">
        <v>1857</v>
      </c>
      <c r="D351" s="2" t="s">
        <v>1858</v>
      </c>
      <c r="E351" s="2" t="s">
        <v>1859</v>
      </c>
      <c r="F351" s="2" t="s">
        <v>418</v>
      </c>
      <c r="G351" s="2" t="s">
        <v>419</v>
      </c>
      <c r="H351" s="2" t="s">
        <v>1838</v>
      </c>
      <c r="I351" s="2" t="s">
        <v>0</v>
      </c>
      <c r="J351" s="2" t="s">
        <v>1839</v>
      </c>
      <c r="K351" s="2" t="s">
        <v>0</v>
      </c>
      <c r="L351" s="2" t="s">
        <v>0</v>
      </c>
      <c r="M351" s="2" t="s">
        <v>1536</v>
      </c>
      <c r="N351" s="2" t="s">
        <v>0</v>
      </c>
      <c r="O351" s="2" t="s">
        <v>82</v>
      </c>
      <c r="P351" s="2" t="s">
        <v>149</v>
      </c>
      <c r="Q351" s="2" t="s">
        <v>1018</v>
      </c>
      <c r="R351" s="2" t="s">
        <v>1019</v>
      </c>
      <c r="S351" s="2" t="s">
        <v>17</v>
      </c>
      <c r="T351" s="2" t="s">
        <v>18</v>
      </c>
      <c r="U351" s="2" t="s">
        <v>0</v>
      </c>
    </row>
    <row r="352" spans="1:21">
      <c r="A352" s="2" t="s">
        <v>1860</v>
      </c>
      <c r="B352" s="2" t="s">
        <v>46</v>
      </c>
      <c r="C352" s="2" t="s">
        <v>1861</v>
      </c>
      <c r="D352" s="2" t="s">
        <v>1862</v>
      </c>
      <c r="E352" s="2" t="s">
        <v>1863</v>
      </c>
      <c r="F352" s="2" t="s">
        <v>1716</v>
      </c>
      <c r="G352" s="2" t="s">
        <v>1704</v>
      </c>
      <c r="H352" s="2" t="s">
        <v>1838</v>
      </c>
      <c r="I352" s="2" t="s">
        <v>0</v>
      </c>
      <c r="J352" s="2" t="s">
        <v>1839</v>
      </c>
      <c r="K352" s="2" t="s">
        <v>0</v>
      </c>
      <c r="L352" s="2" t="s">
        <v>0</v>
      </c>
      <c r="M352" s="2" t="s">
        <v>1536</v>
      </c>
      <c r="N352" s="2" t="s">
        <v>0</v>
      </c>
      <c r="O352" s="2" t="s">
        <v>82</v>
      </c>
      <c r="P352" s="2" t="s">
        <v>14</v>
      </c>
      <c r="Q352" s="2" t="s">
        <v>15</v>
      </c>
      <c r="R352" s="2" t="s">
        <v>16</v>
      </c>
      <c r="S352" s="2" t="s">
        <v>17</v>
      </c>
      <c r="T352" s="2" t="s">
        <v>18</v>
      </c>
      <c r="U352" s="2" t="s">
        <v>0</v>
      </c>
    </row>
    <row r="353" spans="1:21">
      <c r="A353" s="2" t="s">
        <v>1864</v>
      </c>
      <c r="B353" s="2" t="s">
        <v>27</v>
      </c>
      <c r="C353" s="2" t="s">
        <v>1865</v>
      </c>
      <c r="D353" s="2" t="s">
        <v>1866</v>
      </c>
      <c r="E353" s="2" t="s">
        <v>1867</v>
      </c>
      <c r="F353" s="2" t="s">
        <v>1703</v>
      </c>
      <c r="G353" s="2" t="s">
        <v>1704</v>
      </c>
      <c r="H353" s="2" t="s">
        <v>1868</v>
      </c>
      <c r="I353" s="2" t="s">
        <v>0</v>
      </c>
      <c r="J353" s="2" t="s">
        <v>0</v>
      </c>
      <c r="K353" s="2" t="s">
        <v>1869</v>
      </c>
      <c r="L353" s="2" t="s">
        <v>1756</v>
      </c>
      <c r="M353" s="2" t="s">
        <v>1536</v>
      </c>
      <c r="N353" s="2" t="s">
        <v>0</v>
      </c>
      <c r="O353" s="2" t="s">
        <v>13</v>
      </c>
      <c r="P353" s="2" t="s">
        <v>33</v>
      </c>
      <c r="Q353" s="2" t="s">
        <v>0</v>
      </c>
      <c r="R353" s="2" t="s">
        <v>34</v>
      </c>
      <c r="S353" s="2" t="s">
        <v>84</v>
      </c>
      <c r="T353" s="2" t="s">
        <v>35</v>
      </c>
      <c r="U353" s="2" t="s">
        <v>0</v>
      </c>
    </row>
    <row r="354" spans="1:21">
      <c r="A354" s="2" t="s">
        <v>1870</v>
      </c>
      <c r="B354" s="2" t="s">
        <v>3</v>
      </c>
      <c r="C354" s="2" t="s">
        <v>1871</v>
      </c>
      <c r="D354" s="2" t="s">
        <v>1872</v>
      </c>
      <c r="E354" s="2" t="s">
        <v>1873</v>
      </c>
      <c r="F354" s="2" t="s">
        <v>1874</v>
      </c>
      <c r="G354" s="2" t="s">
        <v>1875</v>
      </c>
      <c r="H354" s="2" t="s">
        <v>1868</v>
      </c>
      <c r="I354" s="2" t="s">
        <v>0</v>
      </c>
      <c r="J354" s="2" t="s">
        <v>0</v>
      </c>
      <c r="K354" s="2" t="s">
        <v>1869</v>
      </c>
      <c r="L354" s="2" t="s">
        <v>1756</v>
      </c>
      <c r="M354" s="2" t="s">
        <v>1536</v>
      </c>
      <c r="N354" s="2" t="s">
        <v>0</v>
      </c>
      <c r="O354" s="2" t="s">
        <v>13</v>
      </c>
      <c r="P354" s="2" t="s">
        <v>33</v>
      </c>
      <c r="Q354" s="2" t="s">
        <v>214</v>
      </c>
      <c r="R354" s="2" t="s">
        <v>34</v>
      </c>
      <c r="S354" s="2" t="s">
        <v>84</v>
      </c>
      <c r="T354" s="2" t="s">
        <v>18</v>
      </c>
      <c r="U354" s="2" t="s">
        <v>1876</v>
      </c>
    </row>
    <row r="355" spans="1:21">
      <c r="A355" s="2" t="s">
        <v>1877</v>
      </c>
      <c r="B355" s="2" t="s">
        <v>3</v>
      </c>
      <c r="C355" s="2" t="s">
        <v>1605</v>
      </c>
      <c r="D355" s="2" t="s">
        <v>1878</v>
      </c>
      <c r="E355" s="2" t="s">
        <v>1879</v>
      </c>
      <c r="F355" s="2" t="s">
        <v>418</v>
      </c>
      <c r="G355" s="2" t="s">
        <v>419</v>
      </c>
      <c r="H355" s="2" t="s">
        <v>1868</v>
      </c>
      <c r="I355" s="2" t="s">
        <v>0</v>
      </c>
      <c r="J355" s="2" t="s">
        <v>0</v>
      </c>
      <c r="K355" s="2" t="s">
        <v>1869</v>
      </c>
      <c r="L355" s="2" t="s">
        <v>1756</v>
      </c>
      <c r="M355" s="2" t="s">
        <v>1536</v>
      </c>
      <c r="N355" s="2" t="s">
        <v>0</v>
      </c>
      <c r="O355" s="2" t="s">
        <v>13</v>
      </c>
      <c r="P355" s="2" t="s">
        <v>33</v>
      </c>
      <c r="Q355" s="2" t="s">
        <v>214</v>
      </c>
      <c r="R355" s="2" t="s">
        <v>34</v>
      </c>
      <c r="S355" s="2" t="s">
        <v>84</v>
      </c>
      <c r="T355" s="2" t="s">
        <v>18</v>
      </c>
      <c r="U355" s="2" t="s">
        <v>0</v>
      </c>
    </row>
    <row r="356" spans="1:21">
      <c r="A356" s="2" t="s">
        <v>1880</v>
      </c>
      <c r="B356" s="2" t="s">
        <v>27</v>
      </c>
      <c r="C356" s="2" t="s">
        <v>1881</v>
      </c>
      <c r="D356" s="2" t="s">
        <v>1882</v>
      </c>
      <c r="E356" s="2" t="s">
        <v>1883</v>
      </c>
      <c r="F356" s="2" t="s">
        <v>1703</v>
      </c>
      <c r="G356" s="2" t="s">
        <v>1704</v>
      </c>
      <c r="H356" s="2" t="s">
        <v>1868</v>
      </c>
      <c r="I356" s="2" t="s">
        <v>0</v>
      </c>
      <c r="J356" s="2" t="s">
        <v>0</v>
      </c>
      <c r="K356" s="2" t="s">
        <v>1869</v>
      </c>
      <c r="L356" s="2" t="s">
        <v>1756</v>
      </c>
      <c r="M356" s="2" t="s">
        <v>1536</v>
      </c>
      <c r="N356" s="2" t="s">
        <v>0</v>
      </c>
      <c r="O356" s="2" t="s">
        <v>13</v>
      </c>
      <c r="P356" s="2" t="s">
        <v>33</v>
      </c>
      <c r="Q356" s="2" t="s">
        <v>214</v>
      </c>
      <c r="R356" s="2" t="s">
        <v>34</v>
      </c>
      <c r="S356" s="2" t="s">
        <v>84</v>
      </c>
      <c r="T356" s="2" t="s">
        <v>35</v>
      </c>
      <c r="U356" s="2" t="s">
        <v>0</v>
      </c>
    </row>
    <row r="357" spans="1:21">
      <c r="A357" s="2" t="s">
        <v>1884</v>
      </c>
      <c r="B357" s="2" t="s">
        <v>27</v>
      </c>
      <c r="C357" s="2" t="s">
        <v>1885</v>
      </c>
      <c r="D357" s="2" t="s">
        <v>1886</v>
      </c>
      <c r="E357" s="2" t="s">
        <v>1887</v>
      </c>
      <c r="F357" s="2" t="s">
        <v>1716</v>
      </c>
      <c r="G357" s="2" t="s">
        <v>1704</v>
      </c>
      <c r="H357" s="2" t="s">
        <v>1868</v>
      </c>
      <c r="I357" s="2" t="s">
        <v>0</v>
      </c>
      <c r="J357" s="2" t="s">
        <v>0</v>
      </c>
      <c r="K357" s="2" t="s">
        <v>1869</v>
      </c>
      <c r="L357" s="2" t="s">
        <v>1756</v>
      </c>
      <c r="M357" s="2" t="s">
        <v>1536</v>
      </c>
      <c r="N357" s="2" t="s">
        <v>0</v>
      </c>
      <c r="O357" s="2" t="s">
        <v>13</v>
      </c>
      <c r="P357" s="2" t="s">
        <v>33</v>
      </c>
      <c r="Q357" s="2" t="s">
        <v>214</v>
      </c>
      <c r="R357" s="2" t="s">
        <v>34</v>
      </c>
      <c r="S357" s="2" t="s">
        <v>205</v>
      </c>
      <c r="T357" s="2" t="s">
        <v>35</v>
      </c>
      <c r="U357" s="2" t="s">
        <v>0</v>
      </c>
    </row>
    <row r="358" spans="1:21">
      <c r="A358" s="2" t="s">
        <v>1888</v>
      </c>
      <c r="B358" s="2" t="s">
        <v>3</v>
      </c>
      <c r="C358" s="2" t="s">
        <v>1889</v>
      </c>
      <c r="D358" s="2" t="s">
        <v>1890</v>
      </c>
      <c r="E358" s="2" t="s">
        <v>1891</v>
      </c>
      <c r="F358" s="2" t="s">
        <v>1892</v>
      </c>
      <c r="G358" s="2" t="s">
        <v>1893</v>
      </c>
      <c r="H358" s="2" t="s">
        <v>1894</v>
      </c>
      <c r="I358" s="2" t="s">
        <v>0</v>
      </c>
      <c r="J358" s="2" t="s">
        <v>1895</v>
      </c>
      <c r="K358" s="2" t="s">
        <v>0</v>
      </c>
      <c r="L358" s="2" t="s">
        <v>1896</v>
      </c>
      <c r="M358" s="2" t="s">
        <v>0</v>
      </c>
      <c r="N358" s="2" t="s">
        <v>0</v>
      </c>
      <c r="O358" s="2" t="s">
        <v>82</v>
      </c>
      <c r="P358" s="2" t="s">
        <v>33</v>
      </c>
      <c r="Q358" s="2" t="s">
        <v>0</v>
      </c>
      <c r="R358" s="2" t="s">
        <v>34</v>
      </c>
      <c r="S358" s="2" t="s">
        <v>205</v>
      </c>
      <c r="T358" s="2" t="s">
        <v>18</v>
      </c>
      <c r="U358" s="2" t="s">
        <v>0</v>
      </c>
    </row>
    <row r="359" spans="1:21">
      <c r="A359" s="2" t="s">
        <v>1897</v>
      </c>
      <c r="B359" s="2" t="s">
        <v>3</v>
      </c>
      <c r="C359" s="2" t="s">
        <v>1898</v>
      </c>
      <c r="D359" s="2" t="s">
        <v>1899</v>
      </c>
      <c r="E359" s="2" t="s">
        <v>1900</v>
      </c>
      <c r="F359" s="2" t="s">
        <v>1892</v>
      </c>
      <c r="G359" s="2" t="s">
        <v>1893</v>
      </c>
      <c r="H359" s="2" t="s">
        <v>1894</v>
      </c>
      <c r="I359" s="2" t="s">
        <v>0</v>
      </c>
      <c r="J359" s="2" t="s">
        <v>1895</v>
      </c>
      <c r="K359" s="2" t="s">
        <v>0</v>
      </c>
      <c r="L359" s="2" t="s">
        <v>1896</v>
      </c>
      <c r="M359" s="2" t="s">
        <v>0</v>
      </c>
      <c r="N359" s="2" t="s">
        <v>0</v>
      </c>
      <c r="O359" s="2" t="s">
        <v>82</v>
      </c>
      <c r="P359" s="2" t="s">
        <v>33</v>
      </c>
      <c r="Q359" s="2" t="s">
        <v>198</v>
      </c>
      <c r="R359" s="2" t="s">
        <v>34</v>
      </c>
      <c r="S359" s="2" t="s">
        <v>84</v>
      </c>
      <c r="T359" s="2" t="s">
        <v>18</v>
      </c>
      <c r="U359" s="2" t="s">
        <v>1901</v>
      </c>
    </row>
    <row r="360" spans="1:21">
      <c r="A360" s="2" t="s">
        <v>1902</v>
      </c>
      <c r="B360" s="2" t="s">
        <v>3</v>
      </c>
      <c r="C360" s="2" t="s">
        <v>1903</v>
      </c>
      <c r="D360" s="2" t="s">
        <v>1904</v>
      </c>
      <c r="E360" s="2" t="s">
        <v>1905</v>
      </c>
      <c r="F360" s="2" t="s">
        <v>1892</v>
      </c>
      <c r="G360" s="2" t="s">
        <v>1893</v>
      </c>
      <c r="H360" s="2" t="s">
        <v>1894</v>
      </c>
      <c r="I360" s="2" t="s">
        <v>0</v>
      </c>
      <c r="J360" s="2" t="s">
        <v>1895</v>
      </c>
      <c r="K360" s="2" t="s">
        <v>0</v>
      </c>
      <c r="L360" s="2" t="s">
        <v>1896</v>
      </c>
      <c r="M360" s="2" t="s">
        <v>0</v>
      </c>
      <c r="N360" s="2" t="s">
        <v>0</v>
      </c>
      <c r="O360" s="2" t="s">
        <v>82</v>
      </c>
      <c r="P360" s="2" t="s">
        <v>33</v>
      </c>
      <c r="Q360" s="2" t="s">
        <v>198</v>
      </c>
      <c r="R360" s="2" t="s">
        <v>34</v>
      </c>
      <c r="S360" s="2" t="s">
        <v>84</v>
      </c>
      <c r="T360" s="2" t="s">
        <v>18</v>
      </c>
      <c r="U360" s="2" t="s">
        <v>0</v>
      </c>
    </row>
    <row r="361" spans="1:21">
      <c r="A361" s="2" t="s">
        <v>1906</v>
      </c>
      <c r="B361" s="2" t="s">
        <v>3</v>
      </c>
      <c r="C361" s="2" t="s">
        <v>1907</v>
      </c>
      <c r="D361" s="2" t="s">
        <v>1908</v>
      </c>
      <c r="E361" s="2" t="s">
        <v>1909</v>
      </c>
      <c r="F361" s="2" t="s">
        <v>1910</v>
      </c>
      <c r="G361" s="2" t="s">
        <v>1911</v>
      </c>
      <c r="H361" s="2" t="s">
        <v>1894</v>
      </c>
      <c r="I361" s="2" t="s">
        <v>0</v>
      </c>
      <c r="J361" s="2" t="s">
        <v>1895</v>
      </c>
      <c r="K361" s="2" t="s">
        <v>0</v>
      </c>
      <c r="L361" s="2" t="s">
        <v>1896</v>
      </c>
      <c r="M361" s="2" t="s">
        <v>0</v>
      </c>
      <c r="N361" s="2" t="s">
        <v>0</v>
      </c>
      <c r="O361" s="2" t="s">
        <v>82</v>
      </c>
      <c r="P361" s="2" t="s">
        <v>33</v>
      </c>
      <c r="Q361" s="2" t="s">
        <v>198</v>
      </c>
      <c r="R361" s="2" t="s">
        <v>34</v>
      </c>
      <c r="S361" s="2" t="s">
        <v>84</v>
      </c>
      <c r="T361" s="2" t="s">
        <v>18</v>
      </c>
      <c r="U361" s="2" t="s">
        <v>1912</v>
      </c>
    </row>
    <row r="362" spans="1:21">
      <c r="A362" s="2" t="s">
        <v>1913</v>
      </c>
      <c r="B362" s="2" t="s">
        <v>3</v>
      </c>
      <c r="C362" s="2" t="s">
        <v>1914</v>
      </c>
      <c r="D362" s="2" t="s">
        <v>1915</v>
      </c>
      <c r="E362" s="2" t="s">
        <v>1916</v>
      </c>
      <c r="F362" s="2" t="s">
        <v>1917</v>
      </c>
      <c r="G362" s="2" t="s">
        <v>1918</v>
      </c>
      <c r="H362" s="2" t="s">
        <v>1894</v>
      </c>
      <c r="I362" s="2" t="s">
        <v>0</v>
      </c>
      <c r="J362" s="2" t="s">
        <v>1895</v>
      </c>
      <c r="K362" s="2" t="s">
        <v>0</v>
      </c>
      <c r="L362" s="2" t="s">
        <v>1896</v>
      </c>
      <c r="M362" s="2" t="s">
        <v>0</v>
      </c>
      <c r="N362" s="2" t="s">
        <v>0</v>
      </c>
      <c r="O362" s="2" t="s">
        <v>82</v>
      </c>
      <c r="P362" s="2" t="s">
        <v>33</v>
      </c>
      <c r="Q362" s="2" t="s">
        <v>198</v>
      </c>
      <c r="R362" s="2" t="s">
        <v>34</v>
      </c>
      <c r="S362" s="2" t="s">
        <v>84</v>
      </c>
      <c r="T362" s="2" t="s">
        <v>18</v>
      </c>
      <c r="U362" s="2" t="s">
        <v>1919</v>
      </c>
    </row>
    <row r="363" spans="1:21">
      <c r="A363" s="2" t="s">
        <v>1920</v>
      </c>
      <c r="B363" s="2" t="s">
        <v>27</v>
      </c>
      <c r="C363" s="2" t="s">
        <v>1921</v>
      </c>
      <c r="D363" s="2" t="s">
        <v>1922</v>
      </c>
      <c r="E363" s="2" t="s">
        <v>1923</v>
      </c>
      <c r="F363" s="2" t="s">
        <v>1892</v>
      </c>
      <c r="G363" s="2" t="s">
        <v>1893</v>
      </c>
      <c r="H363" s="2" t="s">
        <v>1894</v>
      </c>
      <c r="I363" s="2" t="s">
        <v>0</v>
      </c>
      <c r="J363" s="2" t="s">
        <v>1895</v>
      </c>
      <c r="K363" s="2" t="s">
        <v>0</v>
      </c>
      <c r="L363" s="2" t="s">
        <v>1896</v>
      </c>
      <c r="M363" s="2" t="s">
        <v>0</v>
      </c>
      <c r="N363" s="2" t="s">
        <v>0</v>
      </c>
      <c r="O363" s="2" t="s">
        <v>82</v>
      </c>
      <c r="P363" s="2" t="s">
        <v>33</v>
      </c>
      <c r="Q363" s="2" t="s">
        <v>198</v>
      </c>
      <c r="R363" s="2" t="s">
        <v>34</v>
      </c>
      <c r="S363" s="2" t="s">
        <v>84</v>
      </c>
      <c r="T363" s="2" t="s">
        <v>35</v>
      </c>
      <c r="U363" s="2" t="s">
        <v>0</v>
      </c>
    </row>
    <row r="364" spans="1:21">
      <c r="A364" s="2" t="s">
        <v>1924</v>
      </c>
      <c r="B364" s="2" t="s">
        <v>3</v>
      </c>
      <c r="C364" s="2" t="s">
        <v>1925</v>
      </c>
      <c r="D364" s="2" t="s">
        <v>1926</v>
      </c>
      <c r="E364" s="2" t="s">
        <v>1927</v>
      </c>
      <c r="F364" s="2" t="s">
        <v>1928</v>
      </c>
      <c r="G364" s="2" t="s">
        <v>1929</v>
      </c>
      <c r="H364" s="2" t="s">
        <v>1930</v>
      </c>
      <c r="I364" s="2" t="s">
        <v>0</v>
      </c>
      <c r="J364" s="2" t="s">
        <v>1931</v>
      </c>
      <c r="K364" s="2" t="s">
        <v>0</v>
      </c>
      <c r="L364" s="2" t="s">
        <v>1896</v>
      </c>
      <c r="M364" s="2" t="s">
        <v>0</v>
      </c>
      <c r="N364" s="2" t="s">
        <v>0</v>
      </c>
      <c r="O364" s="2" t="s">
        <v>82</v>
      </c>
      <c r="P364" s="2" t="s">
        <v>33</v>
      </c>
      <c r="Q364" s="2" t="s">
        <v>214</v>
      </c>
      <c r="R364" s="2" t="s">
        <v>34</v>
      </c>
      <c r="S364" s="2" t="s">
        <v>84</v>
      </c>
      <c r="T364" s="2" t="s">
        <v>18</v>
      </c>
      <c r="U364" s="2" t="s">
        <v>1932</v>
      </c>
    </row>
    <row r="365" spans="1:21">
      <c r="A365" s="2" t="s">
        <v>1933</v>
      </c>
      <c r="B365" s="2" t="s">
        <v>3</v>
      </c>
      <c r="C365" s="2" t="s">
        <v>1934</v>
      </c>
      <c r="D365" s="2" t="s">
        <v>1935</v>
      </c>
      <c r="E365" s="2" t="s">
        <v>1936</v>
      </c>
      <c r="F365" s="2" t="s">
        <v>1937</v>
      </c>
      <c r="G365" s="2" t="s">
        <v>1938</v>
      </c>
      <c r="H365" s="2" t="s">
        <v>1930</v>
      </c>
      <c r="I365" s="2" t="s">
        <v>0</v>
      </c>
      <c r="J365" s="2" t="s">
        <v>1931</v>
      </c>
      <c r="K365" s="2" t="s">
        <v>0</v>
      </c>
      <c r="L365" s="2" t="s">
        <v>1896</v>
      </c>
      <c r="M365" s="2" t="s">
        <v>0</v>
      </c>
      <c r="N365" s="2" t="s">
        <v>0</v>
      </c>
      <c r="O365" s="2" t="s">
        <v>82</v>
      </c>
      <c r="P365" s="2" t="s">
        <v>33</v>
      </c>
      <c r="Q365" s="2" t="s">
        <v>214</v>
      </c>
      <c r="R365" s="2" t="s">
        <v>34</v>
      </c>
      <c r="S365" s="2" t="s">
        <v>84</v>
      </c>
      <c r="T365" s="2" t="s">
        <v>18</v>
      </c>
      <c r="U365" s="2" t="s">
        <v>0</v>
      </c>
    </row>
    <row r="366" spans="1:21">
      <c r="A366" s="2" t="s">
        <v>1939</v>
      </c>
      <c r="B366" s="2" t="s">
        <v>3</v>
      </c>
      <c r="C366" s="2" t="s">
        <v>1940</v>
      </c>
      <c r="D366" s="2" t="s">
        <v>1941</v>
      </c>
      <c r="E366" s="2" t="s">
        <v>1942</v>
      </c>
      <c r="F366" s="2" t="s">
        <v>1943</v>
      </c>
      <c r="G366" s="2" t="s">
        <v>1944</v>
      </c>
      <c r="H366" s="2" t="s">
        <v>1945</v>
      </c>
      <c r="I366" s="2" t="s">
        <v>0</v>
      </c>
      <c r="J366" s="2" t="s">
        <v>1946</v>
      </c>
      <c r="K366" s="2" t="s">
        <v>0</v>
      </c>
      <c r="L366" s="2" t="s">
        <v>1896</v>
      </c>
      <c r="M366" s="2" t="s">
        <v>0</v>
      </c>
      <c r="N366" s="2" t="s">
        <v>0</v>
      </c>
      <c r="O366" s="2" t="s">
        <v>82</v>
      </c>
      <c r="P366" s="2" t="s">
        <v>33</v>
      </c>
      <c r="Q366" s="2" t="s">
        <v>214</v>
      </c>
      <c r="R366" s="2" t="s">
        <v>34</v>
      </c>
      <c r="S366" s="2" t="s">
        <v>84</v>
      </c>
      <c r="T366" s="2" t="s">
        <v>18</v>
      </c>
      <c r="U366" s="2" t="s">
        <v>1947</v>
      </c>
    </row>
    <row r="367" spans="1:21">
      <c r="A367" s="2" t="s">
        <v>1948</v>
      </c>
      <c r="B367" s="2" t="s">
        <v>46</v>
      </c>
      <c r="C367" s="2" t="s">
        <v>1949</v>
      </c>
      <c r="D367" s="2" t="s">
        <v>1950</v>
      </c>
      <c r="E367" s="2" t="s">
        <v>1951</v>
      </c>
      <c r="F367" s="2" t="s">
        <v>1952</v>
      </c>
      <c r="G367" s="2" t="s">
        <v>1953</v>
      </c>
      <c r="H367" s="2" t="s">
        <v>1954</v>
      </c>
      <c r="I367" s="2" t="s">
        <v>0</v>
      </c>
      <c r="J367" s="2" t="s">
        <v>0</v>
      </c>
      <c r="K367" s="2" t="s">
        <v>0</v>
      </c>
      <c r="L367" s="2" t="s">
        <v>0</v>
      </c>
      <c r="M367" s="2" t="s">
        <v>1896</v>
      </c>
      <c r="N367" s="2" t="s">
        <v>0</v>
      </c>
      <c r="O367" s="2" t="s">
        <v>82</v>
      </c>
      <c r="P367" s="2" t="s">
        <v>33</v>
      </c>
      <c r="Q367" s="2" t="s">
        <v>198</v>
      </c>
      <c r="R367" s="2" t="s">
        <v>34</v>
      </c>
      <c r="S367" s="2" t="s">
        <v>84</v>
      </c>
      <c r="T367" s="2" t="s">
        <v>18</v>
      </c>
      <c r="U367" s="2" t="s">
        <v>1955</v>
      </c>
    </row>
    <row r="368" spans="1:21">
      <c r="A368" s="2" t="s">
        <v>1956</v>
      </c>
      <c r="B368" s="2" t="s">
        <v>3</v>
      </c>
      <c r="C368" s="2" t="s">
        <v>1957</v>
      </c>
      <c r="D368" s="2" t="s">
        <v>1958</v>
      </c>
      <c r="E368" s="2" t="s">
        <v>1959</v>
      </c>
      <c r="F368" s="2" t="s">
        <v>1960</v>
      </c>
      <c r="G368" s="2" t="s">
        <v>1961</v>
      </c>
      <c r="H368" s="2" t="s">
        <v>1954</v>
      </c>
      <c r="I368" s="2" t="s">
        <v>0</v>
      </c>
      <c r="J368" s="2" t="s">
        <v>0</v>
      </c>
      <c r="K368" s="2" t="s">
        <v>0</v>
      </c>
      <c r="L368" s="2" t="s">
        <v>0</v>
      </c>
      <c r="M368" s="2" t="s">
        <v>1896</v>
      </c>
      <c r="N368" s="2" t="s">
        <v>0</v>
      </c>
      <c r="O368" s="2" t="s">
        <v>82</v>
      </c>
      <c r="P368" s="2" t="s">
        <v>33</v>
      </c>
      <c r="Q368" s="2" t="s">
        <v>198</v>
      </c>
      <c r="R368" s="2" t="s">
        <v>34</v>
      </c>
      <c r="S368" s="2" t="s">
        <v>84</v>
      </c>
      <c r="T368" s="2" t="s">
        <v>18</v>
      </c>
      <c r="U368" s="2" t="s">
        <v>0</v>
      </c>
    </row>
    <row r="369" spans="1:21">
      <c r="A369" s="2" t="s">
        <v>1962</v>
      </c>
      <c r="B369" s="2" t="s">
        <v>27</v>
      </c>
      <c r="C369" s="2" t="s">
        <v>1963</v>
      </c>
      <c r="D369" s="2" t="s">
        <v>1964</v>
      </c>
      <c r="E369" s="2" t="s">
        <v>1965</v>
      </c>
      <c r="F369" s="2" t="s">
        <v>1966</v>
      </c>
      <c r="G369" s="2" t="s">
        <v>1967</v>
      </c>
      <c r="H369" s="2" t="s">
        <v>1968</v>
      </c>
      <c r="I369" s="2" t="s">
        <v>0</v>
      </c>
      <c r="J369" s="2" t="s">
        <v>1969</v>
      </c>
      <c r="K369" s="2" t="s">
        <v>0</v>
      </c>
      <c r="L369" s="2" t="s">
        <v>1970</v>
      </c>
      <c r="M369" s="2" t="s">
        <v>0</v>
      </c>
      <c r="N369" s="2" t="s">
        <v>12</v>
      </c>
      <c r="O369" s="2" t="s">
        <v>13</v>
      </c>
      <c r="P369" s="2" t="s">
        <v>149</v>
      </c>
      <c r="Q369" s="2" t="s">
        <v>150</v>
      </c>
      <c r="R369" s="2" t="s">
        <v>151</v>
      </c>
      <c r="S369" s="2" t="s">
        <v>17</v>
      </c>
      <c r="T369" s="2" t="s">
        <v>35</v>
      </c>
      <c r="U369" s="2" t="s">
        <v>1971</v>
      </c>
    </row>
    <row r="370" spans="1:21">
      <c r="A370" s="2" t="s">
        <v>1972</v>
      </c>
      <c r="B370" s="2" t="s">
        <v>27</v>
      </c>
      <c r="C370" s="2" t="s">
        <v>1103</v>
      </c>
      <c r="D370" s="2" t="s">
        <v>1973</v>
      </c>
      <c r="E370" s="2" t="s">
        <v>1974</v>
      </c>
      <c r="F370" s="2" t="s">
        <v>1966</v>
      </c>
      <c r="G370" s="2" t="s">
        <v>1975</v>
      </c>
      <c r="H370" s="2" t="s">
        <v>1968</v>
      </c>
      <c r="I370" s="2" t="s">
        <v>0</v>
      </c>
      <c r="J370" s="2" t="s">
        <v>1969</v>
      </c>
      <c r="K370" s="2" t="s">
        <v>0</v>
      </c>
      <c r="L370" s="2" t="s">
        <v>1970</v>
      </c>
      <c r="M370" s="2" t="s">
        <v>0</v>
      </c>
      <c r="N370" s="2" t="s">
        <v>12</v>
      </c>
      <c r="O370" s="2" t="s">
        <v>13</v>
      </c>
      <c r="P370" s="2" t="s">
        <v>14</v>
      </c>
      <c r="Q370" s="2" t="s">
        <v>1346</v>
      </c>
      <c r="R370" s="2" t="s">
        <v>1976</v>
      </c>
      <c r="S370" s="2" t="s">
        <v>17</v>
      </c>
      <c r="T370" s="2" t="s">
        <v>35</v>
      </c>
      <c r="U370" s="2" t="s">
        <v>1977</v>
      </c>
    </row>
    <row r="371" spans="1:21">
      <c r="A371" s="2" t="s">
        <v>1978</v>
      </c>
      <c r="B371" s="2" t="s">
        <v>46</v>
      </c>
      <c r="C371" s="2" t="s">
        <v>1979</v>
      </c>
      <c r="D371" s="2" t="s">
        <v>1980</v>
      </c>
      <c r="E371" s="2" t="s">
        <v>1981</v>
      </c>
      <c r="F371" s="2" t="s">
        <v>1982</v>
      </c>
      <c r="G371" s="2" t="s">
        <v>1983</v>
      </c>
      <c r="H371" s="2" t="s">
        <v>1968</v>
      </c>
      <c r="I371" s="2" t="s">
        <v>0</v>
      </c>
      <c r="J371" s="2" t="s">
        <v>1969</v>
      </c>
      <c r="K371" s="2" t="s">
        <v>0</v>
      </c>
      <c r="L371" s="2" t="s">
        <v>1970</v>
      </c>
      <c r="M371" s="2" t="s">
        <v>0</v>
      </c>
      <c r="N371" s="2" t="s">
        <v>12</v>
      </c>
      <c r="O371" s="2" t="s">
        <v>13</v>
      </c>
      <c r="P371" s="2" t="s">
        <v>14</v>
      </c>
      <c r="Q371" s="2" t="s">
        <v>15</v>
      </c>
      <c r="R371" s="2" t="s">
        <v>16</v>
      </c>
      <c r="S371" s="2" t="s">
        <v>17</v>
      </c>
      <c r="T371" s="2" t="s">
        <v>18</v>
      </c>
      <c r="U371" s="2" t="s">
        <v>1984</v>
      </c>
    </row>
    <row r="372" spans="1:21">
      <c r="A372" s="2" t="s">
        <v>1985</v>
      </c>
      <c r="B372" s="2" t="s">
        <v>27</v>
      </c>
      <c r="C372" s="2" t="s">
        <v>1986</v>
      </c>
      <c r="D372" s="2" t="s">
        <v>1987</v>
      </c>
      <c r="E372" s="2" t="s">
        <v>1988</v>
      </c>
      <c r="F372" s="2" t="s">
        <v>1989</v>
      </c>
      <c r="G372" s="2" t="s">
        <v>1990</v>
      </c>
      <c r="H372" s="2" t="s">
        <v>1968</v>
      </c>
      <c r="I372" s="2" t="s">
        <v>0</v>
      </c>
      <c r="J372" s="2" t="s">
        <v>1969</v>
      </c>
      <c r="K372" s="2" t="s">
        <v>0</v>
      </c>
      <c r="L372" s="2" t="s">
        <v>1970</v>
      </c>
      <c r="M372" s="2" t="s">
        <v>0</v>
      </c>
      <c r="N372" s="2" t="s">
        <v>12</v>
      </c>
      <c r="O372" s="2" t="s">
        <v>13</v>
      </c>
      <c r="P372" s="2" t="s">
        <v>14</v>
      </c>
      <c r="Q372" s="2" t="s">
        <v>15</v>
      </c>
      <c r="R372" s="2" t="s">
        <v>16</v>
      </c>
      <c r="S372" s="2" t="s">
        <v>17</v>
      </c>
      <c r="T372" s="2" t="s">
        <v>35</v>
      </c>
      <c r="U372" s="2" t="s">
        <v>1991</v>
      </c>
    </row>
    <row r="373" spans="1:21">
      <c r="A373" s="2" t="s">
        <v>1992</v>
      </c>
      <c r="B373" s="2" t="s">
        <v>3</v>
      </c>
      <c r="C373" s="2" t="s">
        <v>1993</v>
      </c>
      <c r="D373" s="2" t="s">
        <v>1994</v>
      </c>
      <c r="E373" s="2" t="s">
        <v>1995</v>
      </c>
      <c r="F373" s="2" t="s">
        <v>1989</v>
      </c>
      <c r="G373" s="2" t="s">
        <v>1990</v>
      </c>
      <c r="H373" s="2" t="s">
        <v>1968</v>
      </c>
      <c r="I373" s="2" t="s">
        <v>0</v>
      </c>
      <c r="J373" s="2" t="s">
        <v>1969</v>
      </c>
      <c r="K373" s="2" t="s">
        <v>0</v>
      </c>
      <c r="L373" s="2" t="s">
        <v>1970</v>
      </c>
      <c r="M373" s="2" t="s">
        <v>0</v>
      </c>
      <c r="N373" s="2" t="s">
        <v>12</v>
      </c>
      <c r="O373" s="2" t="s">
        <v>13</v>
      </c>
      <c r="P373" s="2" t="s">
        <v>14</v>
      </c>
      <c r="Q373" s="2" t="s">
        <v>15</v>
      </c>
      <c r="R373" s="2" t="s">
        <v>16</v>
      </c>
      <c r="S373" s="2" t="s">
        <v>17</v>
      </c>
      <c r="T373" s="2" t="s">
        <v>18</v>
      </c>
      <c r="U373" s="2" t="s">
        <v>1996</v>
      </c>
    </row>
    <row r="374" spans="1:21">
      <c r="A374" s="2" t="s">
        <v>1997</v>
      </c>
      <c r="B374" s="2" t="s">
        <v>27</v>
      </c>
      <c r="C374" s="2" t="s">
        <v>1998</v>
      </c>
      <c r="D374" s="2" t="s">
        <v>1999</v>
      </c>
      <c r="E374" s="2" t="s">
        <v>2000</v>
      </c>
      <c r="F374" s="2" t="s">
        <v>1966</v>
      </c>
      <c r="G374" s="2" t="s">
        <v>1975</v>
      </c>
      <c r="H374" s="2" t="s">
        <v>1968</v>
      </c>
      <c r="I374" s="2" t="s">
        <v>0</v>
      </c>
      <c r="J374" s="2" t="s">
        <v>1969</v>
      </c>
      <c r="K374" s="2" t="s">
        <v>0</v>
      </c>
      <c r="L374" s="2" t="s">
        <v>1970</v>
      </c>
      <c r="M374" s="2" t="s">
        <v>0</v>
      </c>
      <c r="N374" s="2" t="s">
        <v>12</v>
      </c>
      <c r="O374" s="2" t="s">
        <v>13</v>
      </c>
      <c r="P374" s="2" t="s">
        <v>14</v>
      </c>
      <c r="Q374" s="2" t="s">
        <v>1153</v>
      </c>
      <c r="R374" s="2" t="s">
        <v>1039</v>
      </c>
      <c r="S374" s="2" t="s">
        <v>17</v>
      </c>
      <c r="T374" s="2" t="s">
        <v>35</v>
      </c>
      <c r="U374" s="2" t="s">
        <v>0</v>
      </c>
    </row>
    <row r="375" spans="1:21">
      <c r="A375" s="2" t="s">
        <v>2001</v>
      </c>
      <c r="B375" s="2" t="s">
        <v>27</v>
      </c>
      <c r="C375" s="2" t="s">
        <v>2002</v>
      </c>
      <c r="D375" s="2" t="s">
        <v>2003</v>
      </c>
      <c r="E375" s="2" t="s">
        <v>2004</v>
      </c>
      <c r="F375" s="2" t="s">
        <v>1989</v>
      </c>
      <c r="G375" s="2" t="s">
        <v>1990</v>
      </c>
      <c r="H375" s="2" t="s">
        <v>1968</v>
      </c>
      <c r="I375" s="2" t="s">
        <v>0</v>
      </c>
      <c r="J375" s="2" t="s">
        <v>1969</v>
      </c>
      <c r="K375" s="2" t="s">
        <v>0</v>
      </c>
      <c r="L375" s="2" t="s">
        <v>1970</v>
      </c>
      <c r="M375" s="2" t="s">
        <v>0</v>
      </c>
      <c r="N375" s="2" t="s">
        <v>12</v>
      </c>
      <c r="O375" s="2" t="s">
        <v>13</v>
      </c>
      <c r="P375" s="2" t="s">
        <v>14</v>
      </c>
      <c r="Q375" s="2" t="s">
        <v>878</v>
      </c>
      <c r="R375" s="2" t="s">
        <v>16</v>
      </c>
      <c r="S375" s="2" t="s">
        <v>17</v>
      </c>
      <c r="T375" s="2" t="s">
        <v>35</v>
      </c>
      <c r="U375" s="2" t="s">
        <v>0</v>
      </c>
    </row>
    <row r="376" spans="1:21">
      <c r="A376" s="2" t="s">
        <v>2005</v>
      </c>
      <c r="B376" s="2" t="s">
        <v>3</v>
      </c>
      <c r="C376" s="2" t="s">
        <v>2006</v>
      </c>
      <c r="D376" s="2" t="s">
        <v>2007</v>
      </c>
      <c r="E376" s="2" t="s">
        <v>2008</v>
      </c>
      <c r="F376" s="2" t="s">
        <v>1989</v>
      </c>
      <c r="G376" s="2" t="s">
        <v>1990</v>
      </c>
      <c r="H376" s="2" t="s">
        <v>1968</v>
      </c>
      <c r="I376" s="2" t="s">
        <v>0</v>
      </c>
      <c r="J376" s="2" t="s">
        <v>1969</v>
      </c>
      <c r="K376" s="2" t="s">
        <v>0</v>
      </c>
      <c r="L376" s="2" t="s">
        <v>1970</v>
      </c>
      <c r="M376" s="2" t="s">
        <v>0</v>
      </c>
      <c r="N376" s="2" t="s">
        <v>12</v>
      </c>
      <c r="O376" s="2" t="s">
        <v>13</v>
      </c>
      <c r="P376" s="2" t="s">
        <v>14</v>
      </c>
      <c r="Q376" s="2" t="s">
        <v>2009</v>
      </c>
      <c r="R376" s="2" t="s">
        <v>2010</v>
      </c>
      <c r="S376" s="2" t="s">
        <v>17</v>
      </c>
      <c r="T376" s="2" t="s">
        <v>18</v>
      </c>
      <c r="U376" s="2" t="s">
        <v>2011</v>
      </c>
    </row>
    <row r="377" spans="1:21">
      <c r="A377" s="2" t="s">
        <v>2012</v>
      </c>
      <c r="B377" s="2" t="s">
        <v>46</v>
      </c>
      <c r="C377" s="2" t="s">
        <v>1963</v>
      </c>
      <c r="D377" s="2" t="s">
        <v>2013</v>
      </c>
      <c r="E377" s="2" t="s">
        <v>2014</v>
      </c>
      <c r="F377" s="2" t="s">
        <v>1966</v>
      </c>
      <c r="G377" s="2" t="s">
        <v>1967</v>
      </c>
      <c r="H377" s="2" t="s">
        <v>1968</v>
      </c>
      <c r="I377" s="2" t="s">
        <v>0</v>
      </c>
      <c r="J377" s="2" t="s">
        <v>1969</v>
      </c>
      <c r="K377" s="2" t="s">
        <v>0</v>
      </c>
      <c r="L377" s="2" t="s">
        <v>1970</v>
      </c>
      <c r="M377" s="2" t="s">
        <v>0</v>
      </c>
      <c r="N377" s="2" t="s">
        <v>12</v>
      </c>
      <c r="O377" s="2" t="s">
        <v>13</v>
      </c>
      <c r="P377" s="2" t="s">
        <v>14</v>
      </c>
      <c r="Q377" s="2" t="s">
        <v>819</v>
      </c>
      <c r="R377" s="2" t="s">
        <v>53</v>
      </c>
      <c r="S377" s="2" t="s">
        <v>17</v>
      </c>
      <c r="T377" s="2" t="s">
        <v>18</v>
      </c>
      <c r="U377" s="2" t="s">
        <v>2015</v>
      </c>
    </row>
    <row r="378" spans="1:21">
      <c r="A378" s="2" t="s">
        <v>2016</v>
      </c>
      <c r="B378" s="2" t="s">
        <v>27</v>
      </c>
      <c r="C378" s="2" t="s">
        <v>2017</v>
      </c>
      <c r="D378" s="2" t="s">
        <v>2018</v>
      </c>
      <c r="E378" s="2" t="s">
        <v>2019</v>
      </c>
      <c r="F378" s="2" t="s">
        <v>1989</v>
      </c>
      <c r="G378" s="2" t="s">
        <v>1990</v>
      </c>
      <c r="H378" s="2" t="s">
        <v>1968</v>
      </c>
      <c r="I378" s="2" t="s">
        <v>0</v>
      </c>
      <c r="J378" s="2" t="s">
        <v>1969</v>
      </c>
      <c r="K378" s="2" t="s">
        <v>0</v>
      </c>
      <c r="L378" s="2" t="s">
        <v>1970</v>
      </c>
      <c r="M378" s="2" t="s">
        <v>0</v>
      </c>
      <c r="N378" s="2" t="s">
        <v>12</v>
      </c>
      <c r="O378" s="2" t="s">
        <v>13</v>
      </c>
      <c r="P378" s="2" t="s">
        <v>14</v>
      </c>
      <c r="Q378" s="2" t="s">
        <v>819</v>
      </c>
      <c r="R378" s="2" t="s">
        <v>820</v>
      </c>
      <c r="S378" s="2" t="s">
        <v>17</v>
      </c>
      <c r="T378" s="2" t="s">
        <v>35</v>
      </c>
      <c r="U378" s="2" t="s">
        <v>0</v>
      </c>
    </row>
    <row r="379" spans="1:21">
      <c r="A379" s="2" t="s">
        <v>2020</v>
      </c>
      <c r="B379" s="2" t="s">
        <v>27</v>
      </c>
      <c r="C379" s="2" t="s">
        <v>2021</v>
      </c>
      <c r="D379" s="2" t="s">
        <v>2022</v>
      </c>
      <c r="E379" s="2" t="s">
        <v>2023</v>
      </c>
      <c r="F379" s="2" t="s">
        <v>1989</v>
      </c>
      <c r="G379" s="2" t="s">
        <v>1990</v>
      </c>
      <c r="H379" s="2" t="s">
        <v>1968</v>
      </c>
      <c r="I379" s="2" t="s">
        <v>0</v>
      </c>
      <c r="J379" s="2" t="s">
        <v>1969</v>
      </c>
      <c r="K379" s="2" t="s">
        <v>0</v>
      </c>
      <c r="L379" s="2" t="s">
        <v>1970</v>
      </c>
      <c r="M379" s="2" t="s">
        <v>0</v>
      </c>
      <c r="N379" s="2" t="s">
        <v>12</v>
      </c>
      <c r="O379" s="2" t="s">
        <v>13</v>
      </c>
      <c r="P379" s="2" t="s">
        <v>14</v>
      </c>
      <c r="Q379" s="2" t="s">
        <v>52</v>
      </c>
      <c r="R379" s="2" t="s">
        <v>53</v>
      </c>
      <c r="S379" s="2" t="s">
        <v>17</v>
      </c>
      <c r="T379" s="2" t="s">
        <v>35</v>
      </c>
      <c r="U379" s="2" t="s">
        <v>0</v>
      </c>
    </row>
    <row r="380" spans="1:21">
      <c r="A380" s="2" t="s">
        <v>2024</v>
      </c>
      <c r="B380" s="2" t="s">
        <v>27</v>
      </c>
      <c r="C380" s="2" t="s">
        <v>2025</v>
      </c>
      <c r="D380" s="2" t="s">
        <v>2026</v>
      </c>
      <c r="E380" s="2" t="s">
        <v>2027</v>
      </c>
      <c r="F380" s="2" t="s">
        <v>1989</v>
      </c>
      <c r="G380" s="2" t="s">
        <v>1990</v>
      </c>
      <c r="H380" s="2" t="s">
        <v>1968</v>
      </c>
      <c r="I380" s="2" t="s">
        <v>0</v>
      </c>
      <c r="J380" s="2" t="s">
        <v>1969</v>
      </c>
      <c r="K380" s="2" t="s">
        <v>0</v>
      </c>
      <c r="L380" s="2" t="s">
        <v>1970</v>
      </c>
      <c r="M380" s="2" t="s">
        <v>0</v>
      </c>
      <c r="N380" s="2" t="s">
        <v>12</v>
      </c>
      <c r="O380" s="2" t="s">
        <v>13</v>
      </c>
      <c r="P380" s="2" t="s">
        <v>14</v>
      </c>
      <c r="Q380" s="2" t="s">
        <v>52</v>
      </c>
      <c r="R380" s="2" t="s">
        <v>53</v>
      </c>
      <c r="S380" s="2" t="s">
        <v>17</v>
      </c>
      <c r="T380" s="2" t="s">
        <v>35</v>
      </c>
      <c r="U380" s="2" t="s">
        <v>0</v>
      </c>
    </row>
    <row r="381" spans="1:21">
      <c r="A381" s="2" t="s">
        <v>2028</v>
      </c>
      <c r="B381" s="2" t="s">
        <v>27</v>
      </c>
      <c r="C381" s="2" t="s">
        <v>2029</v>
      </c>
      <c r="D381" s="2" t="s">
        <v>2030</v>
      </c>
      <c r="E381" s="2" t="s">
        <v>2031</v>
      </c>
      <c r="F381" s="2" t="s">
        <v>1989</v>
      </c>
      <c r="G381" s="2" t="s">
        <v>1990</v>
      </c>
      <c r="H381" s="2" t="s">
        <v>1968</v>
      </c>
      <c r="I381" s="2" t="s">
        <v>0</v>
      </c>
      <c r="J381" s="2" t="s">
        <v>1969</v>
      </c>
      <c r="K381" s="2" t="s">
        <v>0</v>
      </c>
      <c r="L381" s="2" t="s">
        <v>1970</v>
      </c>
      <c r="M381" s="2" t="s">
        <v>0</v>
      </c>
      <c r="N381" s="2" t="s">
        <v>12</v>
      </c>
      <c r="O381" s="2" t="s">
        <v>13</v>
      </c>
      <c r="P381" s="2" t="s">
        <v>14</v>
      </c>
      <c r="Q381" s="2" t="s">
        <v>52</v>
      </c>
      <c r="R381" s="2" t="s">
        <v>53</v>
      </c>
      <c r="S381" s="2" t="s">
        <v>17</v>
      </c>
      <c r="T381" s="2" t="s">
        <v>35</v>
      </c>
      <c r="U381" s="2" t="s">
        <v>0</v>
      </c>
    </row>
    <row r="382" spans="1:21">
      <c r="A382" s="2" t="s">
        <v>2032</v>
      </c>
      <c r="B382" s="2" t="s">
        <v>27</v>
      </c>
      <c r="C382" s="2" t="s">
        <v>2033</v>
      </c>
      <c r="D382" s="2" t="s">
        <v>2034</v>
      </c>
      <c r="E382" s="2" t="s">
        <v>2035</v>
      </c>
      <c r="F382" s="2" t="s">
        <v>1989</v>
      </c>
      <c r="G382" s="2" t="s">
        <v>1990</v>
      </c>
      <c r="H382" s="2" t="s">
        <v>1968</v>
      </c>
      <c r="I382" s="2" t="s">
        <v>0</v>
      </c>
      <c r="J382" s="2" t="s">
        <v>1969</v>
      </c>
      <c r="K382" s="2" t="s">
        <v>0</v>
      </c>
      <c r="L382" s="2" t="s">
        <v>1970</v>
      </c>
      <c r="M382" s="2" t="s">
        <v>0</v>
      </c>
      <c r="N382" s="2" t="s">
        <v>12</v>
      </c>
      <c r="O382" s="2" t="s">
        <v>13</v>
      </c>
      <c r="P382" s="2" t="s">
        <v>14</v>
      </c>
      <c r="Q382" s="2" t="s">
        <v>52</v>
      </c>
      <c r="R382" s="2" t="s">
        <v>53</v>
      </c>
      <c r="S382" s="2" t="s">
        <v>17</v>
      </c>
      <c r="T382" s="2" t="s">
        <v>35</v>
      </c>
      <c r="U382" s="2" t="s">
        <v>2036</v>
      </c>
    </row>
    <row r="383" spans="1:21">
      <c r="A383" s="2" t="s">
        <v>2037</v>
      </c>
      <c r="B383" s="2" t="s">
        <v>27</v>
      </c>
      <c r="C383" s="2" t="s">
        <v>2038</v>
      </c>
      <c r="D383" s="2" t="s">
        <v>2039</v>
      </c>
      <c r="E383" s="2" t="s">
        <v>2040</v>
      </c>
      <c r="F383" s="2" t="s">
        <v>1966</v>
      </c>
      <c r="G383" s="2" t="s">
        <v>1967</v>
      </c>
      <c r="H383" s="2" t="s">
        <v>1968</v>
      </c>
      <c r="I383" s="2" t="s">
        <v>0</v>
      </c>
      <c r="J383" s="2" t="s">
        <v>1969</v>
      </c>
      <c r="K383" s="2" t="s">
        <v>0</v>
      </c>
      <c r="L383" s="2" t="s">
        <v>1970</v>
      </c>
      <c r="M383" s="2" t="s">
        <v>0</v>
      </c>
      <c r="N383" s="2" t="s">
        <v>12</v>
      </c>
      <c r="O383" s="2" t="s">
        <v>13</v>
      </c>
      <c r="P383" s="2" t="s">
        <v>14</v>
      </c>
      <c r="Q383" s="2" t="s">
        <v>52</v>
      </c>
      <c r="R383" s="2" t="s">
        <v>53</v>
      </c>
      <c r="S383" s="2" t="s">
        <v>17</v>
      </c>
      <c r="T383" s="2" t="s">
        <v>35</v>
      </c>
      <c r="U383" s="2" t="s">
        <v>2041</v>
      </c>
    </row>
    <row r="384" spans="1:21">
      <c r="A384" s="2" t="s">
        <v>2042</v>
      </c>
      <c r="B384" s="2" t="s">
        <v>27</v>
      </c>
      <c r="C384" s="2" t="s">
        <v>2043</v>
      </c>
      <c r="D384" s="2" t="s">
        <v>2044</v>
      </c>
      <c r="E384" s="2" t="s">
        <v>2045</v>
      </c>
      <c r="F384" s="2" t="s">
        <v>2046</v>
      </c>
      <c r="G384" s="2" t="s">
        <v>2047</v>
      </c>
      <c r="H384" s="2" t="s">
        <v>2048</v>
      </c>
      <c r="I384" s="2" t="s">
        <v>0</v>
      </c>
      <c r="J384" s="2" t="s">
        <v>0</v>
      </c>
      <c r="K384" s="2" t="s">
        <v>0</v>
      </c>
      <c r="L384" s="2" t="s">
        <v>0</v>
      </c>
      <c r="M384" s="2" t="s">
        <v>1970</v>
      </c>
      <c r="N384" s="2" t="s">
        <v>12</v>
      </c>
      <c r="O384" s="2" t="s">
        <v>82</v>
      </c>
      <c r="P384" s="2" t="s">
        <v>14</v>
      </c>
      <c r="Q384" s="2" t="s">
        <v>52</v>
      </c>
      <c r="R384" s="2" t="s">
        <v>16</v>
      </c>
      <c r="S384" s="2" t="s">
        <v>17</v>
      </c>
      <c r="T384" s="2" t="s">
        <v>35</v>
      </c>
      <c r="U384" s="2" t="s">
        <v>0</v>
      </c>
    </row>
    <row r="385" spans="1:21">
      <c r="A385" s="2" t="s">
        <v>2049</v>
      </c>
      <c r="B385" s="2" t="s">
        <v>46</v>
      </c>
      <c r="C385" s="2" t="s">
        <v>2050</v>
      </c>
      <c r="D385" s="2" t="s">
        <v>2051</v>
      </c>
      <c r="E385" s="2" t="s">
        <v>2052</v>
      </c>
      <c r="F385" s="2" t="s">
        <v>2053</v>
      </c>
      <c r="G385" s="2" t="s">
        <v>2054</v>
      </c>
      <c r="H385" s="2" t="s">
        <v>2048</v>
      </c>
      <c r="I385" s="2" t="s">
        <v>0</v>
      </c>
      <c r="J385" s="2" t="s">
        <v>0</v>
      </c>
      <c r="K385" s="2" t="s">
        <v>0</v>
      </c>
      <c r="L385" s="2" t="s">
        <v>0</v>
      </c>
      <c r="M385" s="2" t="s">
        <v>1970</v>
      </c>
      <c r="N385" s="2" t="s">
        <v>12</v>
      </c>
      <c r="O385" s="2" t="s">
        <v>82</v>
      </c>
      <c r="P385" s="2" t="s">
        <v>14</v>
      </c>
      <c r="Q385" s="2" t="s">
        <v>52</v>
      </c>
      <c r="R385" s="2" t="s">
        <v>53</v>
      </c>
      <c r="S385" s="2" t="s">
        <v>17</v>
      </c>
      <c r="T385" s="2" t="s">
        <v>18</v>
      </c>
      <c r="U385" s="2" t="s">
        <v>2055</v>
      </c>
    </row>
    <row r="386" spans="1:21">
      <c r="A386" s="2" t="s">
        <v>2056</v>
      </c>
      <c r="B386" s="2" t="s">
        <v>3</v>
      </c>
      <c r="C386" s="2" t="s">
        <v>2057</v>
      </c>
      <c r="D386" s="2" t="s">
        <v>2058</v>
      </c>
      <c r="E386" s="2" t="s">
        <v>2059</v>
      </c>
      <c r="F386" s="2" t="s">
        <v>7</v>
      </c>
      <c r="G386" s="2" t="s">
        <v>8</v>
      </c>
      <c r="H386" s="2" t="s">
        <v>2048</v>
      </c>
      <c r="I386" s="2" t="s">
        <v>0</v>
      </c>
      <c r="J386" s="2" t="s">
        <v>0</v>
      </c>
      <c r="K386" s="2" t="s">
        <v>0</v>
      </c>
      <c r="L386" s="2" t="s">
        <v>0</v>
      </c>
      <c r="M386" s="2" t="s">
        <v>1970</v>
      </c>
      <c r="N386" s="2" t="s">
        <v>12</v>
      </c>
      <c r="O386" s="2" t="s">
        <v>82</v>
      </c>
      <c r="P386" s="2" t="s">
        <v>14</v>
      </c>
      <c r="Q386" s="2" t="s">
        <v>52</v>
      </c>
      <c r="R386" s="2" t="s">
        <v>53</v>
      </c>
      <c r="S386" s="2" t="s">
        <v>17</v>
      </c>
      <c r="T386" s="2" t="s">
        <v>18</v>
      </c>
      <c r="U386" s="2" t="s">
        <v>2060</v>
      </c>
    </row>
    <row r="387" spans="1:21">
      <c r="A387" s="2" t="s">
        <v>2061</v>
      </c>
      <c r="B387" s="2" t="s">
        <v>3</v>
      </c>
      <c r="C387" s="2" t="s">
        <v>2062</v>
      </c>
      <c r="D387" s="2" t="s">
        <v>2063</v>
      </c>
      <c r="E387" s="2" t="s">
        <v>2064</v>
      </c>
      <c r="F387" s="2" t="s">
        <v>1989</v>
      </c>
      <c r="G387" s="2" t="s">
        <v>1990</v>
      </c>
      <c r="H387" s="2" t="s">
        <v>2065</v>
      </c>
      <c r="I387" s="2" t="s">
        <v>0</v>
      </c>
      <c r="J387" s="2" t="s">
        <v>2066</v>
      </c>
      <c r="K387" s="2" t="s">
        <v>0</v>
      </c>
      <c r="L387" s="2" t="s">
        <v>1970</v>
      </c>
      <c r="M387" s="2" t="s">
        <v>0</v>
      </c>
      <c r="N387" s="2" t="s">
        <v>12</v>
      </c>
      <c r="O387" s="2" t="s">
        <v>13</v>
      </c>
      <c r="P387" s="2" t="s">
        <v>149</v>
      </c>
      <c r="Q387" s="2" t="s">
        <v>1018</v>
      </c>
      <c r="R387" s="2" t="s">
        <v>1019</v>
      </c>
      <c r="S387" s="2" t="s">
        <v>17</v>
      </c>
      <c r="T387" s="2" t="s">
        <v>18</v>
      </c>
      <c r="U387" s="2" t="s">
        <v>0</v>
      </c>
    </row>
    <row r="388" spans="1:21">
      <c r="A388" s="2" t="s">
        <v>2067</v>
      </c>
      <c r="B388" s="2" t="s">
        <v>3</v>
      </c>
      <c r="C388" s="2" t="s">
        <v>2068</v>
      </c>
      <c r="D388" s="2" t="s">
        <v>2069</v>
      </c>
      <c r="E388" s="2" t="s">
        <v>2070</v>
      </c>
      <c r="F388" s="2" t="s">
        <v>1989</v>
      </c>
      <c r="G388" s="2" t="s">
        <v>1990</v>
      </c>
      <c r="H388" s="2" t="s">
        <v>2065</v>
      </c>
      <c r="I388" s="2" t="s">
        <v>0</v>
      </c>
      <c r="J388" s="2" t="s">
        <v>2066</v>
      </c>
      <c r="K388" s="2" t="s">
        <v>0</v>
      </c>
      <c r="L388" s="2" t="s">
        <v>1970</v>
      </c>
      <c r="M388" s="2" t="s">
        <v>0</v>
      </c>
      <c r="N388" s="2" t="s">
        <v>12</v>
      </c>
      <c r="O388" s="2" t="s">
        <v>13</v>
      </c>
      <c r="P388" s="2" t="s">
        <v>14</v>
      </c>
      <c r="Q388" s="2" t="s">
        <v>15</v>
      </c>
      <c r="R388" s="2" t="s">
        <v>16</v>
      </c>
      <c r="S388" s="2" t="s">
        <v>17</v>
      </c>
      <c r="T388" s="2" t="s">
        <v>18</v>
      </c>
      <c r="U388" s="2" t="s">
        <v>0</v>
      </c>
    </row>
    <row r="389" spans="1:21">
      <c r="A389" s="2" t="s">
        <v>2071</v>
      </c>
      <c r="B389" s="2" t="s">
        <v>27</v>
      </c>
      <c r="C389" s="2" t="s">
        <v>2072</v>
      </c>
      <c r="D389" s="2" t="s">
        <v>2073</v>
      </c>
      <c r="E389" s="2" t="s">
        <v>2074</v>
      </c>
      <c r="F389" s="2" t="s">
        <v>2075</v>
      </c>
      <c r="G389" s="2" t="s">
        <v>2076</v>
      </c>
      <c r="H389" s="2" t="s">
        <v>2065</v>
      </c>
      <c r="I389" s="2" t="s">
        <v>0</v>
      </c>
      <c r="J389" s="2" t="s">
        <v>2066</v>
      </c>
      <c r="K389" s="2" t="s">
        <v>0</v>
      </c>
      <c r="L389" s="2" t="s">
        <v>1970</v>
      </c>
      <c r="M389" s="2" t="s">
        <v>0</v>
      </c>
      <c r="N389" s="2" t="s">
        <v>12</v>
      </c>
      <c r="O389" s="2" t="s">
        <v>13</v>
      </c>
      <c r="P389" s="2" t="s">
        <v>14</v>
      </c>
      <c r="Q389" s="2" t="s">
        <v>2009</v>
      </c>
      <c r="R389" s="2" t="s">
        <v>16</v>
      </c>
      <c r="S389" s="2" t="s">
        <v>17</v>
      </c>
      <c r="T389" s="2" t="s">
        <v>35</v>
      </c>
      <c r="U389" s="2" t="s">
        <v>2077</v>
      </c>
    </row>
    <row r="390" spans="1:21">
      <c r="A390" s="2" t="s">
        <v>2078</v>
      </c>
      <c r="B390" s="2" t="s">
        <v>27</v>
      </c>
      <c r="C390" s="2" t="s">
        <v>2079</v>
      </c>
      <c r="D390" s="2" t="s">
        <v>2080</v>
      </c>
      <c r="E390" s="2" t="s">
        <v>2081</v>
      </c>
      <c r="F390" s="2" t="s">
        <v>1989</v>
      </c>
      <c r="G390" s="2" t="s">
        <v>1990</v>
      </c>
      <c r="H390" s="2" t="s">
        <v>2065</v>
      </c>
      <c r="I390" s="2" t="s">
        <v>0</v>
      </c>
      <c r="J390" s="2" t="s">
        <v>2066</v>
      </c>
      <c r="K390" s="2" t="s">
        <v>0</v>
      </c>
      <c r="L390" s="2" t="s">
        <v>1970</v>
      </c>
      <c r="M390" s="2" t="s">
        <v>0</v>
      </c>
      <c r="N390" s="2" t="s">
        <v>12</v>
      </c>
      <c r="O390" s="2" t="s">
        <v>13</v>
      </c>
      <c r="P390" s="2" t="s">
        <v>14</v>
      </c>
      <c r="Q390" s="2" t="s">
        <v>2009</v>
      </c>
      <c r="R390" s="2" t="s">
        <v>2010</v>
      </c>
      <c r="S390" s="2" t="s">
        <v>17</v>
      </c>
      <c r="T390" s="2" t="s">
        <v>35</v>
      </c>
      <c r="U390" s="2" t="s">
        <v>0</v>
      </c>
    </row>
    <row r="391" spans="1:21">
      <c r="A391" s="2" t="s">
        <v>2082</v>
      </c>
      <c r="B391" s="2" t="s">
        <v>27</v>
      </c>
      <c r="C391" s="2" t="s">
        <v>2083</v>
      </c>
      <c r="D391" s="2" t="s">
        <v>2084</v>
      </c>
      <c r="E391" s="2" t="s">
        <v>2085</v>
      </c>
      <c r="F391" s="2" t="s">
        <v>1966</v>
      </c>
      <c r="G391" s="2" t="s">
        <v>1967</v>
      </c>
      <c r="H391" s="2" t="s">
        <v>2065</v>
      </c>
      <c r="I391" s="2" t="s">
        <v>0</v>
      </c>
      <c r="J391" s="2" t="s">
        <v>2066</v>
      </c>
      <c r="K391" s="2" t="s">
        <v>0</v>
      </c>
      <c r="L391" s="2" t="s">
        <v>1970</v>
      </c>
      <c r="M391" s="2" t="s">
        <v>0</v>
      </c>
      <c r="N391" s="2" t="s">
        <v>12</v>
      </c>
      <c r="O391" s="2" t="s">
        <v>13</v>
      </c>
      <c r="P391" s="2" t="s">
        <v>14</v>
      </c>
      <c r="Q391" s="2" t="s">
        <v>156</v>
      </c>
      <c r="R391" s="2" t="s">
        <v>838</v>
      </c>
      <c r="S391" s="2" t="s">
        <v>17</v>
      </c>
      <c r="T391" s="2" t="s">
        <v>35</v>
      </c>
      <c r="U391" s="2" t="s">
        <v>2086</v>
      </c>
    </row>
    <row r="392" spans="1:21">
      <c r="A392" s="2" t="s">
        <v>2087</v>
      </c>
      <c r="B392" s="2" t="s">
        <v>27</v>
      </c>
      <c r="C392" s="2" t="s">
        <v>903</v>
      </c>
      <c r="D392" s="2" t="s">
        <v>2088</v>
      </c>
      <c r="E392" s="2" t="s">
        <v>2089</v>
      </c>
      <c r="F392" s="2" t="s">
        <v>1966</v>
      </c>
      <c r="G392" s="2" t="s">
        <v>1967</v>
      </c>
      <c r="H392" s="2" t="s">
        <v>2065</v>
      </c>
      <c r="I392" s="2" t="s">
        <v>0</v>
      </c>
      <c r="J392" s="2" t="s">
        <v>2066</v>
      </c>
      <c r="K392" s="2" t="s">
        <v>0</v>
      </c>
      <c r="L392" s="2" t="s">
        <v>1970</v>
      </c>
      <c r="M392" s="2" t="s">
        <v>0</v>
      </c>
      <c r="N392" s="2" t="s">
        <v>12</v>
      </c>
      <c r="O392" s="2" t="s">
        <v>13</v>
      </c>
      <c r="P392" s="2" t="s">
        <v>14</v>
      </c>
      <c r="Q392" s="2" t="s">
        <v>52</v>
      </c>
      <c r="R392" s="2" t="s">
        <v>16</v>
      </c>
      <c r="S392" s="2" t="s">
        <v>17</v>
      </c>
      <c r="T392" s="2" t="s">
        <v>35</v>
      </c>
      <c r="U392" s="2" t="s">
        <v>2090</v>
      </c>
    </row>
    <row r="393" spans="1:21">
      <c r="A393" s="2" t="s">
        <v>2091</v>
      </c>
      <c r="B393" s="2" t="s">
        <v>46</v>
      </c>
      <c r="C393" s="2" t="s">
        <v>2092</v>
      </c>
      <c r="D393" s="2" t="s">
        <v>2093</v>
      </c>
      <c r="E393" s="2" t="s">
        <v>2094</v>
      </c>
      <c r="F393" s="2" t="s">
        <v>2095</v>
      </c>
      <c r="G393" s="2" t="s">
        <v>2096</v>
      </c>
      <c r="H393" s="2" t="s">
        <v>2097</v>
      </c>
      <c r="I393" s="2" t="s">
        <v>2098</v>
      </c>
      <c r="J393" s="2" t="s">
        <v>0</v>
      </c>
      <c r="K393" s="2" t="s">
        <v>0</v>
      </c>
      <c r="L393" s="2" t="s">
        <v>1970</v>
      </c>
      <c r="M393" s="2" t="s">
        <v>0</v>
      </c>
      <c r="N393" s="2" t="s">
        <v>12</v>
      </c>
      <c r="O393" s="2" t="s">
        <v>13</v>
      </c>
      <c r="P393" s="2" t="s">
        <v>14</v>
      </c>
      <c r="Q393" s="2" t="s">
        <v>52</v>
      </c>
      <c r="R393" s="2" t="s">
        <v>16</v>
      </c>
      <c r="S393" s="2" t="s">
        <v>17</v>
      </c>
      <c r="T393" s="2" t="s">
        <v>18</v>
      </c>
      <c r="U393" s="2" t="s">
        <v>0</v>
      </c>
    </row>
    <row r="394" spans="1:21">
      <c r="A394" s="2" t="s">
        <v>2099</v>
      </c>
      <c r="B394" s="2" t="s">
        <v>27</v>
      </c>
      <c r="C394" s="2" t="s">
        <v>2100</v>
      </c>
      <c r="D394" s="2" t="s">
        <v>2101</v>
      </c>
      <c r="E394" s="2" t="s">
        <v>2102</v>
      </c>
      <c r="F394" s="2" t="s">
        <v>2103</v>
      </c>
      <c r="G394" s="2" t="s">
        <v>2104</v>
      </c>
      <c r="H394" s="2" t="s">
        <v>2097</v>
      </c>
      <c r="I394" s="2" t="s">
        <v>2098</v>
      </c>
      <c r="J394" s="2" t="s">
        <v>0</v>
      </c>
      <c r="K394" s="2" t="s">
        <v>0</v>
      </c>
      <c r="L394" s="2" t="s">
        <v>1970</v>
      </c>
      <c r="M394" s="2" t="s">
        <v>0</v>
      </c>
      <c r="N394" s="2" t="s">
        <v>12</v>
      </c>
      <c r="O394" s="2" t="s">
        <v>13</v>
      </c>
      <c r="P394" s="2" t="s">
        <v>14</v>
      </c>
      <c r="Q394" s="2" t="s">
        <v>52</v>
      </c>
      <c r="R394" s="2" t="s">
        <v>53</v>
      </c>
      <c r="S394" s="2" t="s">
        <v>17</v>
      </c>
      <c r="T394" s="2" t="s">
        <v>35</v>
      </c>
      <c r="U394" s="2" t="s">
        <v>2105</v>
      </c>
    </row>
    <row r="395" spans="1:21">
      <c r="A395" s="2" t="s">
        <v>2106</v>
      </c>
      <c r="B395" s="2" t="s">
        <v>3</v>
      </c>
      <c r="C395" s="2" t="s">
        <v>2107</v>
      </c>
      <c r="D395" s="2" t="s">
        <v>2108</v>
      </c>
      <c r="E395" s="2" t="s">
        <v>2109</v>
      </c>
      <c r="F395" s="2" t="s">
        <v>2110</v>
      </c>
      <c r="G395" s="2" t="s">
        <v>2111</v>
      </c>
      <c r="H395" s="2" t="s">
        <v>2112</v>
      </c>
      <c r="I395" s="2" t="s">
        <v>0</v>
      </c>
      <c r="J395" s="2" t="s">
        <v>2113</v>
      </c>
      <c r="K395" s="2" t="s">
        <v>0</v>
      </c>
      <c r="L395" s="2" t="s">
        <v>2114</v>
      </c>
      <c r="M395" s="2" t="s">
        <v>0</v>
      </c>
      <c r="N395" s="2" t="s">
        <v>0</v>
      </c>
      <c r="O395" s="2" t="s">
        <v>82</v>
      </c>
      <c r="P395" s="2" t="s">
        <v>33</v>
      </c>
      <c r="Q395" s="2" t="s">
        <v>214</v>
      </c>
      <c r="R395" s="2" t="s">
        <v>34</v>
      </c>
      <c r="S395" s="2" t="s">
        <v>84</v>
      </c>
      <c r="T395" s="2" t="s">
        <v>18</v>
      </c>
      <c r="U395" s="2" t="s">
        <v>0</v>
      </c>
    </row>
    <row r="396" spans="1:21">
      <c r="A396" s="2" t="s">
        <v>2115</v>
      </c>
      <c r="B396" s="2" t="s">
        <v>27</v>
      </c>
      <c r="C396" s="2" t="s">
        <v>2116</v>
      </c>
      <c r="D396" s="2" t="s">
        <v>2117</v>
      </c>
      <c r="E396" s="2" t="s">
        <v>2118</v>
      </c>
      <c r="F396" s="2" t="s">
        <v>2119</v>
      </c>
      <c r="G396" s="2" t="s">
        <v>2120</v>
      </c>
      <c r="H396" s="2" t="s">
        <v>2112</v>
      </c>
      <c r="I396" s="2" t="s">
        <v>0</v>
      </c>
      <c r="J396" s="2" t="s">
        <v>2113</v>
      </c>
      <c r="K396" s="2" t="s">
        <v>0</v>
      </c>
      <c r="L396" s="2" t="s">
        <v>2114</v>
      </c>
      <c r="M396" s="2" t="s">
        <v>0</v>
      </c>
      <c r="N396" s="2" t="s">
        <v>0</v>
      </c>
      <c r="O396" s="2" t="s">
        <v>82</v>
      </c>
      <c r="P396" s="2" t="s">
        <v>33</v>
      </c>
      <c r="Q396" s="2" t="s">
        <v>214</v>
      </c>
      <c r="R396" s="2" t="s">
        <v>34</v>
      </c>
      <c r="S396" s="2" t="s">
        <v>84</v>
      </c>
      <c r="T396" s="2" t="s">
        <v>35</v>
      </c>
      <c r="U396" s="2" t="s">
        <v>0</v>
      </c>
    </row>
    <row r="397" spans="1:21">
      <c r="A397" s="2" t="s">
        <v>2121</v>
      </c>
      <c r="B397" s="2" t="s">
        <v>3</v>
      </c>
      <c r="C397" s="2" t="s">
        <v>1652</v>
      </c>
      <c r="D397" s="2" t="s">
        <v>2122</v>
      </c>
      <c r="E397" s="2" t="s">
        <v>2123</v>
      </c>
      <c r="F397" s="2" t="s">
        <v>203</v>
      </c>
      <c r="G397" s="2" t="s">
        <v>204</v>
      </c>
      <c r="H397" s="2" t="s">
        <v>2124</v>
      </c>
      <c r="I397" s="2" t="s">
        <v>0</v>
      </c>
      <c r="J397" s="2" t="s">
        <v>0</v>
      </c>
      <c r="K397" s="2" t="s">
        <v>0</v>
      </c>
      <c r="L397" s="2" t="s">
        <v>0</v>
      </c>
      <c r="M397" s="2" t="s">
        <v>2114</v>
      </c>
      <c r="N397" s="2" t="s">
        <v>0</v>
      </c>
      <c r="O397" s="2" t="s">
        <v>82</v>
      </c>
      <c r="P397" s="2" t="s">
        <v>33</v>
      </c>
      <c r="Q397" s="2" t="s">
        <v>214</v>
      </c>
      <c r="R397" s="2" t="s">
        <v>34</v>
      </c>
      <c r="S397" s="2" t="s">
        <v>84</v>
      </c>
      <c r="T397" s="2" t="s">
        <v>18</v>
      </c>
      <c r="U397" s="2" t="s">
        <v>2125</v>
      </c>
    </row>
    <row r="398" spans="1:21">
      <c r="A398" s="2" t="s">
        <v>2126</v>
      </c>
      <c r="B398" s="2" t="s">
        <v>3</v>
      </c>
      <c r="C398" s="2" t="s">
        <v>2127</v>
      </c>
      <c r="D398" s="2" t="s">
        <v>2128</v>
      </c>
      <c r="E398" s="2" t="s">
        <v>2129</v>
      </c>
      <c r="F398" s="2" t="s">
        <v>2130</v>
      </c>
      <c r="G398" s="2" t="s">
        <v>2131</v>
      </c>
      <c r="H398" s="2" t="s">
        <v>2124</v>
      </c>
      <c r="I398" s="2" t="s">
        <v>0</v>
      </c>
      <c r="J398" s="2" t="s">
        <v>0</v>
      </c>
      <c r="K398" s="2" t="s">
        <v>0</v>
      </c>
      <c r="L398" s="2" t="s">
        <v>0</v>
      </c>
      <c r="M398" s="2" t="s">
        <v>2114</v>
      </c>
      <c r="N398" s="2" t="s">
        <v>0</v>
      </c>
      <c r="O398" s="2" t="s">
        <v>82</v>
      </c>
      <c r="P398" s="2" t="s">
        <v>33</v>
      </c>
      <c r="Q398" s="2" t="s">
        <v>214</v>
      </c>
      <c r="R398" s="2" t="s">
        <v>34</v>
      </c>
      <c r="S398" s="2" t="s">
        <v>84</v>
      </c>
      <c r="T398" s="2" t="s">
        <v>18</v>
      </c>
      <c r="U398" s="2" t="s">
        <v>0</v>
      </c>
    </row>
    <row r="399" spans="1:21">
      <c r="A399" s="2" t="s">
        <v>2132</v>
      </c>
      <c r="B399" s="2" t="s">
        <v>3</v>
      </c>
      <c r="C399" s="2" t="s">
        <v>2133</v>
      </c>
      <c r="D399" s="2" t="s">
        <v>2134</v>
      </c>
      <c r="E399" s="2" t="s">
        <v>2135</v>
      </c>
      <c r="F399" s="2" t="s">
        <v>2136</v>
      </c>
      <c r="G399" s="2" t="s">
        <v>2137</v>
      </c>
      <c r="H399" s="2" t="s">
        <v>2138</v>
      </c>
      <c r="I399" s="2" t="s">
        <v>0</v>
      </c>
      <c r="J399" s="2" t="s">
        <v>2139</v>
      </c>
      <c r="K399" s="2" t="s">
        <v>0</v>
      </c>
      <c r="L399" s="2" t="s">
        <v>0</v>
      </c>
      <c r="M399" s="2" t="s">
        <v>0</v>
      </c>
      <c r="N399" s="2" t="s">
        <v>510</v>
      </c>
      <c r="O399" s="2" t="s">
        <v>82</v>
      </c>
      <c r="P399" s="2" t="s">
        <v>33</v>
      </c>
      <c r="Q399" s="2" t="s">
        <v>2140</v>
      </c>
      <c r="R399" s="2" t="s">
        <v>34</v>
      </c>
      <c r="S399" s="2" t="s">
        <v>84</v>
      </c>
      <c r="T399" s="2" t="s">
        <v>18</v>
      </c>
      <c r="U399" s="2" t="s">
        <v>0</v>
      </c>
    </row>
    <row r="400" spans="1:21">
      <c r="A400" s="2" t="s">
        <v>2141</v>
      </c>
      <c r="B400" s="2" t="s">
        <v>3</v>
      </c>
      <c r="C400" s="2" t="s">
        <v>2142</v>
      </c>
      <c r="D400" s="2" t="s">
        <v>2143</v>
      </c>
      <c r="E400" s="2" t="s">
        <v>2144</v>
      </c>
      <c r="F400" s="2" t="s">
        <v>2110</v>
      </c>
      <c r="G400" s="2" t="s">
        <v>2111</v>
      </c>
      <c r="H400" s="2" t="s">
        <v>2145</v>
      </c>
      <c r="I400" s="2" t="s">
        <v>0</v>
      </c>
      <c r="J400" s="2" t="s">
        <v>2146</v>
      </c>
      <c r="K400" s="2" t="s">
        <v>0</v>
      </c>
      <c r="L400" s="2" t="s">
        <v>2114</v>
      </c>
      <c r="M400" s="2" t="s">
        <v>0</v>
      </c>
      <c r="N400" s="2" t="s">
        <v>0</v>
      </c>
      <c r="O400" s="2" t="s">
        <v>82</v>
      </c>
      <c r="P400" s="2" t="s">
        <v>33</v>
      </c>
      <c r="Q400" s="2" t="s">
        <v>214</v>
      </c>
      <c r="R400" s="2" t="s">
        <v>34</v>
      </c>
      <c r="S400" s="2" t="s">
        <v>84</v>
      </c>
      <c r="T400" s="2" t="s">
        <v>18</v>
      </c>
      <c r="U400" s="2" t="s">
        <v>0</v>
      </c>
    </row>
    <row r="401" spans="1:21">
      <c r="A401" s="2" t="s">
        <v>2147</v>
      </c>
      <c r="B401" s="2" t="s">
        <v>27</v>
      </c>
      <c r="C401" s="2" t="s">
        <v>2148</v>
      </c>
      <c r="D401" s="2" t="s">
        <v>2149</v>
      </c>
      <c r="E401" s="2" t="s">
        <v>2150</v>
      </c>
      <c r="F401" s="2" t="s">
        <v>2151</v>
      </c>
      <c r="G401" s="2" t="s">
        <v>2152</v>
      </c>
      <c r="H401" s="2" t="s">
        <v>2145</v>
      </c>
      <c r="I401" s="2" t="s">
        <v>0</v>
      </c>
      <c r="J401" s="2" t="s">
        <v>2146</v>
      </c>
      <c r="K401" s="2" t="s">
        <v>0</v>
      </c>
      <c r="L401" s="2" t="s">
        <v>2114</v>
      </c>
      <c r="M401" s="2" t="s">
        <v>0</v>
      </c>
      <c r="N401" s="2" t="s">
        <v>0</v>
      </c>
      <c r="O401" s="2" t="s">
        <v>82</v>
      </c>
      <c r="P401" s="2" t="s">
        <v>33</v>
      </c>
      <c r="Q401" s="2" t="s">
        <v>214</v>
      </c>
      <c r="R401" s="2" t="s">
        <v>34</v>
      </c>
      <c r="S401" s="2" t="s">
        <v>84</v>
      </c>
      <c r="T401" s="2" t="s">
        <v>35</v>
      </c>
      <c r="U401" s="2" t="s">
        <v>2153</v>
      </c>
    </row>
    <row r="402" spans="1:21">
      <c r="A402" s="2" t="s">
        <v>2154</v>
      </c>
      <c r="B402" s="2" t="s">
        <v>3</v>
      </c>
      <c r="C402" s="2" t="s">
        <v>2155</v>
      </c>
      <c r="D402" s="2" t="s">
        <v>2156</v>
      </c>
      <c r="E402" s="2" t="s">
        <v>2157</v>
      </c>
      <c r="F402" s="2" t="s">
        <v>2158</v>
      </c>
      <c r="G402" s="2" t="s">
        <v>2159</v>
      </c>
      <c r="H402" s="2" t="s">
        <v>2160</v>
      </c>
      <c r="I402" s="2" t="s">
        <v>0</v>
      </c>
      <c r="J402" s="2" t="s">
        <v>2161</v>
      </c>
      <c r="K402" s="2" t="s">
        <v>0</v>
      </c>
      <c r="L402" s="2" t="s">
        <v>2114</v>
      </c>
      <c r="M402" s="2" t="s">
        <v>0</v>
      </c>
      <c r="N402" s="2" t="s">
        <v>0</v>
      </c>
      <c r="O402" s="2" t="s">
        <v>82</v>
      </c>
      <c r="P402" s="2" t="s">
        <v>33</v>
      </c>
      <c r="Q402" s="2" t="s">
        <v>214</v>
      </c>
      <c r="R402" s="2" t="s">
        <v>34</v>
      </c>
      <c r="S402" s="2" t="s">
        <v>84</v>
      </c>
      <c r="T402" s="2" t="s">
        <v>18</v>
      </c>
      <c r="U402" s="2" t="s">
        <v>0</v>
      </c>
    </row>
    <row r="403" spans="1:21">
      <c r="A403" s="2" t="s">
        <v>2162</v>
      </c>
      <c r="B403" s="2" t="s">
        <v>27</v>
      </c>
      <c r="C403" s="2" t="s">
        <v>2163</v>
      </c>
      <c r="D403" s="2" t="s">
        <v>2164</v>
      </c>
      <c r="E403" s="2" t="s">
        <v>2165</v>
      </c>
      <c r="F403" s="2" t="s">
        <v>2166</v>
      </c>
      <c r="G403" s="2" t="s">
        <v>2167</v>
      </c>
      <c r="H403" s="2" t="s">
        <v>2168</v>
      </c>
      <c r="I403" s="2" t="s">
        <v>0</v>
      </c>
      <c r="J403" s="2" t="s">
        <v>2169</v>
      </c>
      <c r="K403" s="2" t="s">
        <v>0</v>
      </c>
      <c r="L403" s="2" t="s">
        <v>2170</v>
      </c>
      <c r="M403" s="2" t="s">
        <v>0</v>
      </c>
      <c r="N403" s="2" t="s">
        <v>12</v>
      </c>
      <c r="O403" s="2" t="s">
        <v>13</v>
      </c>
      <c r="P403" s="2" t="s">
        <v>14</v>
      </c>
      <c r="Q403" s="2" t="s">
        <v>15</v>
      </c>
      <c r="R403" s="2" t="s">
        <v>16</v>
      </c>
      <c r="S403" s="2" t="s">
        <v>17</v>
      </c>
      <c r="T403" s="2" t="s">
        <v>35</v>
      </c>
      <c r="U403" s="2" t="s">
        <v>0</v>
      </c>
    </row>
    <row r="404" spans="1:21">
      <c r="A404" s="2" t="s">
        <v>2171</v>
      </c>
      <c r="B404" s="2" t="s">
        <v>27</v>
      </c>
      <c r="C404" s="2" t="s">
        <v>2172</v>
      </c>
      <c r="D404" s="2" t="s">
        <v>2173</v>
      </c>
      <c r="E404" s="2" t="s">
        <v>2174</v>
      </c>
      <c r="F404" s="2" t="s">
        <v>2175</v>
      </c>
      <c r="G404" s="2" t="s">
        <v>2176</v>
      </c>
      <c r="H404" s="2" t="s">
        <v>2168</v>
      </c>
      <c r="I404" s="2" t="s">
        <v>0</v>
      </c>
      <c r="J404" s="2" t="s">
        <v>2169</v>
      </c>
      <c r="K404" s="2" t="s">
        <v>0</v>
      </c>
      <c r="L404" s="2" t="s">
        <v>2170</v>
      </c>
      <c r="M404" s="2" t="s">
        <v>0</v>
      </c>
      <c r="N404" s="2" t="s">
        <v>12</v>
      </c>
      <c r="O404" s="2" t="s">
        <v>13</v>
      </c>
      <c r="P404" s="2" t="s">
        <v>14</v>
      </c>
      <c r="Q404" s="2" t="s">
        <v>15</v>
      </c>
      <c r="R404" s="2" t="s">
        <v>16</v>
      </c>
      <c r="S404" s="2" t="s">
        <v>17</v>
      </c>
      <c r="T404" s="2" t="s">
        <v>35</v>
      </c>
      <c r="U404" s="2" t="s">
        <v>0</v>
      </c>
    </row>
    <row r="405" spans="1:21">
      <c r="A405" s="2" t="s">
        <v>2177</v>
      </c>
      <c r="B405" s="2" t="s">
        <v>46</v>
      </c>
      <c r="C405" s="2" t="s">
        <v>307</v>
      </c>
      <c r="D405" s="2" t="s">
        <v>2178</v>
      </c>
      <c r="E405" s="2" t="s">
        <v>2179</v>
      </c>
      <c r="F405" s="2" t="s">
        <v>226</v>
      </c>
      <c r="G405" s="2" t="s">
        <v>227</v>
      </c>
      <c r="H405" s="2" t="s">
        <v>2168</v>
      </c>
      <c r="I405" s="2" t="s">
        <v>0</v>
      </c>
      <c r="J405" s="2" t="s">
        <v>2169</v>
      </c>
      <c r="K405" s="2" t="s">
        <v>0</v>
      </c>
      <c r="L405" s="2" t="s">
        <v>2170</v>
      </c>
      <c r="M405" s="2" t="s">
        <v>0</v>
      </c>
      <c r="N405" s="2" t="s">
        <v>12</v>
      </c>
      <c r="O405" s="2" t="s">
        <v>13</v>
      </c>
      <c r="P405" s="2" t="s">
        <v>14</v>
      </c>
      <c r="Q405" s="2" t="s">
        <v>15</v>
      </c>
      <c r="R405" s="2" t="s">
        <v>16</v>
      </c>
      <c r="S405" s="2" t="s">
        <v>17</v>
      </c>
      <c r="T405" s="2" t="s">
        <v>18</v>
      </c>
      <c r="U405" s="2" t="s">
        <v>2180</v>
      </c>
    </row>
    <row r="406" spans="1:21">
      <c r="A406" s="2" t="s">
        <v>2181</v>
      </c>
      <c r="B406" s="2" t="s">
        <v>27</v>
      </c>
      <c r="C406" s="2" t="s">
        <v>2182</v>
      </c>
      <c r="D406" s="2" t="s">
        <v>2183</v>
      </c>
      <c r="E406" s="2" t="s">
        <v>2184</v>
      </c>
      <c r="F406" s="2" t="s">
        <v>226</v>
      </c>
      <c r="G406" s="2" t="s">
        <v>227</v>
      </c>
      <c r="H406" s="2" t="s">
        <v>2168</v>
      </c>
      <c r="I406" s="2" t="s">
        <v>0</v>
      </c>
      <c r="J406" s="2" t="s">
        <v>2169</v>
      </c>
      <c r="K406" s="2" t="s">
        <v>0</v>
      </c>
      <c r="L406" s="2" t="s">
        <v>2170</v>
      </c>
      <c r="M406" s="2" t="s">
        <v>0</v>
      </c>
      <c r="N406" s="2" t="s">
        <v>12</v>
      </c>
      <c r="O406" s="2" t="s">
        <v>13</v>
      </c>
      <c r="P406" s="2" t="s">
        <v>14</v>
      </c>
      <c r="Q406" s="2" t="s">
        <v>15</v>
      </c>
      <c r="R406" s="2" t="s">
        <v>16</v>
      </c>
      <c r="S406" s="2" t="s">
        <v>17</v>
      </c>
      <c r="T406" s="2" t="s">
        <v>35</v>
      </c>
      <c r="U406" s="2" t="s">
        <v>2185</v>
      </c>
    </row>
    <row r="407" spans="1:21">
      <c r="A407" s="2" t="s">
        <v>2186</v>
      </c>
      <c r="B407" s="2" t="s">
        <v>27</v>
      </c>
      <c r="C407" s="2" t="s">
        <v>2187</v>
      </c>
      <c r="D407" s="2" t="s">
        <v>2188</v>
      </c>
      <c r="E407" s="2" t="s">
        <v>2189</v>
      </c>
      <c r="F407" s="2" t="s">
        <v>226</v>
      </c>
      <c r="G407" s="2" t="s">
        <v>227</v>
      </c>
      <c r="H407" s="2" t="s">
        <v>2168</v>
      </c>
      <c r="I407" s="2" t="s">
        <v>0</v>
      </c>
      <c r="J407" s="2" t="s">
        <v>2169</v>
      </c>
      <c r="K407" s="2" t="s">
        <v>0</v>
      </c>
      <c r="L407" s="2" t="s">
        <v>2170</v>
      </c>
      <c r="M407" s="2" t="s">
        <v>0</v>
      </c>
      <c r="N407" s="2" t="s">
        <v>12</v>
      </c>
      <c r="O407" s="2" t="s">
        <v>13</v>
      </c>
      <c r="P407" s="2" t="s">
        <v>14</v>
      </c>
      <c r="Q407" s="2" t="s">
        <v>15</v>
      </c>
      <c r="R407" s="2" t="s">
        <v>16</v>
      </c>
      <c r="S407" s="2" t="s">
        <v>17</v>
      </c>
      <c r="T407" s="2" t="s">
        <v>35</v>
      </c>
      <c r="U407" s="2" t="s">
        <v>2190</v>
      </c>
    </row>
    <row r="408" spans="1:21">
      <c r="A408" s="2" t="s">
        <v>2191</v>
      </c>
      <c r="B408" s="2" t="s">
        <v>27</v>
      </c>
      <c r="C408" s="2" t="s">
        <v>754</v>
      </c>
      <c r="D408" s="2" t="s">
        <v>2192</v>
      </c>
      <c r="E408" s="2" t="s">
        <v>2193</v>
      </c>
      <c r="F408" s="2" t="s">
        <v>2194</v>
      </c>
      <c r="G408" s="2" t="s">
        <v>2195</v>
      </c>
      <c r="H408" s="2" t="s">
        <v>2196</v>
      </c>
      <c r="I408" s="2" t="s">
        <v>0</v>
      </c>
      <c r="J408" s="2" t="s">
        <v>0</v>
      </c>
      <c r="K408" s="2" t="s">
        <v>0</v>
      </c>
      <c r="L408" s="2" t="s">
        <v>0</v>
      </c>
      <c r="M408" s="2" t="s">
        <v>2170</v>
      </c>
      <c r="N408" s="2" t="s">
        <v>12</v>
      </c>
      <c r="O408" s="2" t="s">
        <v>82</v>
      </c>
      <c r="P408" s="2" t="s">
        <v>14</v>
      </c>
      <c r="Q408" s="2" t="s">
        <v>15</v>
      </c>
      <c r="R408" s="2" t="s">
        <v>16</v>
      </c>
      <c r="S408" s="2" t="s">
        <v>17</v>
      </c>
      <c r="T408" s="2" t="s">
        <v>35</v>
      </c>
      <c r="U408" s="2" t="s">
        <v>2197</v>
      </c>
    </row>
    <row r="409" spans="1:21">
      <c r="A409" s="2" t="s">
        <v>2198</v>
      </c>
      <c r="B409" s="2" t="s">
        <v>27</v>
      </c>
      <c r="C409" s="2" t="s">
        <v>2199</v>
      </c>
      <c r="D409" s="2" t="s">
        <v>2200</v>
      </c>
      <c r="E409" s="2" t="s">
        <v>2201</v>
      </c>
      <c r="F409" s="2" t="s">
        <v>220</v>
      </c>
      <c r="G409" s="2" t="s">
        <v>2202</v>
      </c>
      <c r="H409" s="2" t="s">
        <v>2196</v>
      </c>
      <c r="I409" s="2" t="s">
        <v>0</v>
      </c>
      <c r="J409" s="2" t="s">
        <v>0</v>
      </c>
      <c r="K409" s="2" t="s">
        <v>0</v>
      </c>
      <c r="L409" s="2" t="s">
        <v>0</v>
      </c>
      <c r="M409" s="2" t="s">
        <v>2170</v>
      </c>
      <c r="N409" s="2" t="s">
        <v>12</v>
      </c>
      <c r="O409" s="2" t="s">
        <v>82</v>
      </c>
      <c r="P409" s="2" t="s">
        <v>14</v>
      </c>
      <c r="Q409" s="2" t="s">
        <v>52</v>
      </c>
      <c r="R409" s="2" t="s">
        <v>53</v>
      </c>
      <c r="S409" s="2" t="s">
        <v>17</v>
      </c>
      <c r="T409" s="2" t="s">
        <v>35</v>
      </c>
      <c r="U409" s="2" t="s">
        <v>2203</v>
      </c>
    </row>
    <row r="410" spans="1:21">
      <c r="A410" s="2" t="s">
        <v>2204</v>
      </c>
      <c r="B410" s="2" t="s">
        <v>3</v>
      </c>
      <c r="C410" s="2" t="s">
        <v>2205</v>
      </c>
      <c r="D410" s="2" t="s">
        <v>2206</v>
      </c>
      <c r="E410" s="2" t="s">
        <v>2207</v>
      </c>
      <c r="F410" s="2" t="s">
        <v>2175</v>
      </c>
      <c r="G410" s="2" t="s">
        <v>2176</v>
      </c>
      <c r="H410" s="2" t="s">
        <v>2208</v>
      </c>
      <c r="I410" s="2" t="s">
        <v>0</v>
      </c>
      <c r="J410" s="2" t="s">
        <v>0</v>
      </c>
      <c r="K410" s="2" t="s">
        <v>2209</v>
      </c>
      <c r="L410" s="2" t="s">
        <v>2170</v>
      </c>
      <c r="M410" s="2" t="s">
        <v>0</v>
      </c>
      <c r="N410" s="2" t="s">
        <v>12</v>
      </c>
      <c r="O410" s="2" t="s">
        <v>13</v>
      </c>
      <c r="P410" s="2" t="s">
        <v>14</v>
      </c>
      <c r="Q410" s="2" t="s">
        <v>15</v>
      </c>
      <c r="R410" s="2" t="s">
        <v>16</v>
      </c>
      <c r="S410" s="2" t="s">
        <v>17</v>
      </c>
      <c r="T410" s="2" t="s">
        <v>18</v>
      </c>
      <c r="U410" s="2" t="s">
        <v>2210</v>
      </c>
    </row>
    <row r="411" spans="1:21">
      <c r="A411" s="2" t="s">
        <v>2211</v>
      </c>
      <c r="B411" s="2" t="s">
        <v>27</v>
      </c>
      <c r="C411" s="2" t="s">
        <v>2212</v>
      </c>
      <c r="D411" s="2" t="s">
        <v>2213</v>
      </c>
      <c r="E411" s="2" t="s">
        <v>2214</v>
      </c>
      <c r="F411" s="2" t="s">
        <v>226</v>
      </c>
      <c r="G411" s="2" t="s">
        <v>227</v>
      </c>
      <c r="H411" s="2" t="s">
        <v>2208</v>
      </c>
      <c r="I411" s="2" t="s">
        <v>0</v>
      </c>
      <c r="J411" s="2" t="s">
        <v>0</v>
      </c>
      <c r="K411" s="2" t="s">
        <v>2209</v>
      </c>
      <c r="L411" s="2" t="s">
        <v>2170</v>
      </c>
      <c r="M411" s="2" t="s">
        <v>0</v>
      </c>
      <c r="N411" s="2" t="s">
        <v>12</v>
      </c>
      <c r="O411" s="2" t="s">
        <v>13</v>
      </c>
      <c r="P411" s="2" t="s">
        <v>14</v>
      </c>
      <c r="Q411" s="2" t="s">
        <v>15</v>
      </c>
      <c r="R411" s="2" t="s">
        <v>16</v>
      </c>
      <c r="S411" s="2" t="s">
        <v>17</v>
      </c>
      <c r="T411" s="2" t="s">
        <v>35</v>
      </c>
      <c r="U411" s="2" t="s">
        <v>2215</v>
      </c>
    </row>
    <row r="412" spans="1:21">
      <c r="A412" s="2" t="s">
        <v>2216</v>
      </c>
      <c r="B412" s="2" t="s">
        <v>27</v>
      </c>
      <c r="C412" s="2" t="s">
        <v>2217</v>
      </c>
      <c r="D412" s="2" t="s">
        <v>2218</v>
      </c>
      <c r="E412" s="2" t="s">
        <v>2219</v>
      </c>
      <c r="F412" s="2" t="s">
        <v>226</v>
      </c>
      <c r="G412" s="2" t="s">
        <v>227</v>
      </c>
      <c r="H412" s="2" t="s">
        <v>2208</v>
      </c>
      <c r="I412" s="2" t="s">
        <v>0</v>
      </c>
      <c r="J412" s="2" t="s">
        <v>0</v>
      </c>
      <c r="K412" s="2" t="s">
        <v>2209</v>
      </c>
      <c r="L412" s="2" t="s">
        <v>2170</v>
      </c>
      <c r="M412" s="2" t="s">
        <v>0</v>
      </c>
      <c r="N412" s="2" t="s">
        <v>12</v>
      </c>
      <c r="O412" s="2" t="s">
        <v>13</v>
      </c>
      <c r="P412" s="2" t="s">
        <v>14</v>
      </c>
      <c r="Q412" s="2" t="s">
        <v>15</v>
      </c>
      <c r="R412" s="2" t="s">
        <v>16</v>
      </c>
      <c r="S412" s="2" t="s">
        <v>17</v>
      </c>
      <c r="T412" s="2" t="s">
        <v>35</v>
      </c>
      <c r="U412" s="2" t="s">
        <v>2220</v>
      </c>
    </row>
    <row r="413" spans="1:21">
      <c r="A413" s="2" t="s">
        <v>2221</v>
      </c>
      <c r="B413" s="2" t="s">
        <v>27</v>
      </c>
      <c r="C413" s="2" t="s">
        <v>754</v>
      </c>
      <c r="D413" s="2" t="s">
        <v>2222</v>
      </c>
      <c r="E413" s="2" t="s">
        <v>2223</v>
      </c>
      <c r="F413" s="2" t="s">
        <v>2224</v>
      </c>
      <c r="G413" s="2" t="s">
        <v>2225</v>
      </c>
      <c r="H413" s="2" t="s">
        <v>2208</v>
      </c>
      <c r="I413" s="2" t="s">
        <v>0</v>
      </c>
      <c r="J413" s="2" t="s">
        <v>0</v>
      </c>
      <c r="K413" s="2" t="s">
        <v>2209</v>
      </c>
      <c r="L413" s="2" t="s">
        <v>2170</v>
      </c>
      <c r="M413" s="2" t="s">
        <v>0</v>
      </c>
      <c r="N413" s="2" t="s">
        <v>12</v>
      </c>
      <c r="O413" s="2" t="s">
        <v>13</v>
      </c>
      <c r="P413" s="2" t="s">
        <v>14</v>
      </c>
      <c r="Q413" s="2" t="s">
        <v>15</v>
      </c>
      <c r="R413" s="2" t="s">
        <v>16</v>
      </c>
      <c r="S413" s="2" t="s">
        <v>17</v>
      </c>
      <c r="T413" s="2" t="s">
        <v>35</v>
      </c>
      <c r="U413" s="2" t="s">
        <v>2226</v>
      </c>
    </row>
    <row r="414" spans="1:21">
      <c r="A414" s="2" t="s">
        <v>2227</v>
      </c>
      <c r="B414" s="2" t="s">
        <v>27</v>
      </c>
      <c r="C414" s="2" t="s">
        <v>2228</v>
      </c>
      <c r="D414" s="2" t="s">
        <v>2229</v>
      </c>
      <c r="E414" s="2" t="s">
        <v>2230</v>
      </c>
      <c r="F414" s="2" t="s">
        <v>226</v>
      </c>
      <c r="G414" s="2" t="s">
        <v>227</v>
      </c>
      <c r="H414" s="2" t="s">
        <v>2208</v>
      </c>
      <c r="I414" s="2" t="s">
        <v>0</v>
      </c>
      <c r="J414" s="2" t="s">
        <v>0</v>
      </c>
      <c r="K414" s="2" t="s">
        <v>2209</v>
      </c>
      <c r="L414" s="2" t="s">
        <v>2170</v>
      </c>
      <c r="M414" s="2" t="s">
        <v>0</v>
      </c>
      <c r="N414" s="2" t="s">
        <v>12</v>
      </c>
      <c r="O414" s="2" t="s">
        <v>13</v>
      </c>
      <c r="P414" s="2" t="s">
        <v>14</v>
      </c>
      <c r="Q414" s="2" t="s">
        <v>15</v>
      </c>
      <c r="R414" s="2" t="s">
        <v>16</v>
      </c>
      <c r="S414" s="2" t="s">
        <v>17</v>
      </c>
      <c r="T414" s="2" t="s">
        <v>35</v>
      </c>
      <c r="U414" s="2" t="s">
        <v>0</v>
      </c>
    </row>
    <row r="415" spans="1:21">
      <c r="A415" s="2" t="s">
        <v>2231</v>
      </c>
      <c r="B415" s="2" t="s">
        <v>27</v>
      </c>
      <c r="C415" s="2" t="s">
        <v>2232</v>
      </c>
      <c r="D415" s="2" t="s">
        <v>2233</v>
      </c>
      <c r="E415" s="2" t="s">
        <v>2234</v>
      </c>
      <c r="F415" s="2" t="s">
        <v>226</v>
      </c>
      <c r="G415" s="2" t="s">
        <v>227</v>
      </c>
      <c r="H415" s="2" t="s">
        <v>2208</v>
      </c>
      <c r="I415" s="2" t="s">
        <v>0</v>
      </c>
      <c r="J415" s="2" t="s">
        <v>0</v>
      </c>
      <c r="K415" s="2" t="s">
        <v>2209</v>
      </c>
      <c r="L415" s="2" t="s">
        <v>2170</v>
      </c>
      <c r="M415" s="2" t="s">
        <v>0</v>
      </c>
      <c r="N415" s="2" t="s">
        <v>12</v>
      </c>
      <c r="O415" s="2" t="s">
        <v>13</v>
      </c>
      <c r="P415" s="2" t="s">
        <v>14</v>
      </c>
      <c r="Q415" s="2" t="s">
        <v>15</v>
      </c>
      <c r="R415" s="2" t="s">
        <v>16</v>
      </c>
      <c r="S415" s="2" t="s">
        <v>17</v>
      </c>
      <c r="T415" s="2" t="s">
        <v>35</v>
      </c>
      <c r="U415" s="2" t="s">
        <v>0</v>
      </c>
    </row>
    <row r="416" spans="1:21">
      <c r="A416" s="2" t="s">
        <v>2235</v>
      </c>
      <c r="B416" s="2" t="s">
        <v>27</v>
      </c>
      <c r="C416" s="2" t="s">
        <v>2236</v>
      </c>
      <c r="D416" s="2" t="s">
        <v>2237</v>
      </c>
      <c r="E416" s="2" t="s">
        <v>2238</v>
      </c>
      <c r="F416" s="2" t="s">
        <v>210</v>
      </c>
      <c r="G416" s="2" t="s">
        <v>211</v>
      </c>
      <c r="H416" s="2" t="s">
        <v>2208</v>
      </c>
      <c r="I416" s="2" t="s">
        <v>0</v>
      </c>
      <c r="J416" s="2" t="s">
        <v>0</v>
      </c>
      <c r="K416" s="2" t="s">
        <v>2209</v>
      </c>
      <c r="L416" s="2" t="s">
        <v>2170</v>
      </c>
      <c r="M416" s="2" t="s">
        <v>0</v>
      </c>
      <c r="N416" s="2" t="s">
        <v>12</v>
      </c>
      <c r="O416" s="2" t="s">
        <v>13</v>
      </c>
      <c r="P416" s="2" t="s">
        <v>14</v>
      </c>
      <c r="Q416" s="2" t="s">
        <v>878</v>
      </c>
      <c r="R416" s="2" t="s">
        <v>16</v>
      </c>
      <c r="S416" s="2" t="s">
        <v>17</v>
      </c>
      <c r="T416" s="2" t="s">
        <v>35</v>
      </c>
      <c r="U416" s="2" t="s">
        <v>2239</v>
      </c>
    </row>
    <row r="417" spans="1:21">
      <c r="A417" s="2" t="s">
        <v>2240</v>
      </c>
      <c r="B417" s="2" t="s">
        <v>27</v>
      </c>
      <c r="C417" s="2" t="s">
        <v>2241</v>
      </c>
      <c r="D417" s="2" t="s">
        <v>2242</v>
      </c>
      <c r="E417" s="2" t="s">
        <v>2243</v>
      </c>
      <c r="F417" s="2" t="s">
        <v>2244</v>
      </c>
      <c r="G417" s="2" t="s">
        <v>2245</v>
      </c>
      <c r="H417" s="2" t="s">
        <v>2246</v>
      </c>
      <c r="I417" s="2" t="s">
        <v>0</v>
      </c>
      <c r="J417" s="2" t="s">
        <v>2247</v>
      </c>
      <c r="K417" s="2" t="s">
        <v>0</v>
      </c>
      <c r="L417" s="2" t="s">
        <v>2170</v>
      </c>
      <c r="M417" s="2" t="s">
        <v>0</v>
      </c>
      <c r="N417" s="2" t="s">
        <v>12</v>
      </c>
      <c r="O417" s="2" t="s">
        <v>13</v>
      </c>
      <c r="P417" s="2" t="s">
        <v>149</v>
      </c>
      <c r="Q417" s="2" t="s">
        <v>1018</v>
      </c>
      <c r="R417" s="2" t="s">
        <v>1019</v>
      </c>
      <c r="S417" s="2" t="s">
        <v>17</v>
      </c>
      <c r="T417" s="2" t="s">
        <v>35</v>
      </c>
      <c r="U417" s="2" t="s">
        <v>0</v>
      </c>
    </row>
    <row r="418" spans="1:21">
      <c r="A418" s="2" t="s">
        <v>2248</v>
      </c>
      <c r="B418" s="2" t="s">
        <v>27</v>
      </c>
      <c r="C418" s="2" t="s">
        <v>2249</v>
      </c>
      <c r="D418" s="2" t="s">
        <v>2250</v>
      </c>
      <c r="E418" s="2" t="s">
        <v>2251</v>
      </c>
      <c r="F418" s="2" t="s">
        <v>210</v>
      </c>
      <c r="G418" s="2" t="s">
        <v>211</v>
      </c>
      <c r="H418" s="2" t="s">
        <v>2246</v>
      </c>
      <c r="I418" s="2" t="s">
        <v>0</v>
      </c>
      <c r="J418" s="2" t="s">
        <v>2247</v>
      </c>
      <c r="K418" s="2" t="s">
        <v>0</v>
      </c>
      <c r="L418" s="2" t="s">
        <v>2170</v>
      </c>
      <c r="M418" s="2" t="s">
        <v>0</v>
      </c>
      <c r="N418" s="2" t="s">
        <v>12</v>
      </c>
      <c r="O418" s="2" t="s">
        <v>13</v>
      </c>
      <c r="P418" s="2" t="s">
        <v>149</v>
      </c>
      <c r="Q418" s="2" t="s">
        <v>1018</v>
      </c>
      <c r="R418" s="2" t="s">
        <v>1019</v>
      </c>
      <c r="S418" s="2" t="s">
        <v>17</v>
      </c>
      <c r="T418" s="2" t="s">
        <v>35</v>
      </c>
      <c r="U418" s="2" t="s">
        <v>0</v>
      </c>
    </row>
    <row r="419" spans="1:21">
      <c r="A419" s="2" t="s">
        <v>2252</v>
      </c>
      <c r="B419" s="2" t="s">
        <v>27</v>
      </c>
      <c r="C419" s="2" t="s">
        <v>2253</v>
      </c>
      <c r="D419" s="2" t="s">
        <v>1065</v>
      </c>
      <c r="E419" s="2" t="s">
        <v>2254</v>
      </c>
      <c r="F419" s="2" t="s">
        <v>210</v>
      </c>
      <c r="G419" s="2" t="s">
        <v>211</v>
      </c>
      <c r="H419" s="2" t="s">
        <v>2246</v>
      </c>
      <c r="I419" s="2" t="s">
        <v>0</v>
      </c>
      <c r="J419" s="2" t="s">
        <v>2247</v>
      </c>
      <c r="K419" s="2" t="s">
        <v>0</v>
      </c>
      <c r="L419" s="2" t="s">
        <v>2170</v>
      </c>
      <c r="M419" s="2" t="s">
        <v>0</v>
      </c>
      <c r="N419" s="2" t="s">
        <v>12</v>
      </c>
      <c r="O419" s="2" t="s">
        <v>13</v>
      </c>
      <c r="P419" s="2" t="s">
        <v>149</v>
      </c>
      <c r="Q419" s="2" t="s">
        <v>1018</v>
      </c>
      <c r="R419" s="2" t="s">
        <v>1019</v>
      </c>
      <c r="S419" s="2" t="s">
        <v>17</v>
      </c>
      <c r="T419" s="2" t="s">
        <v>35</v>
      </c>
      <c r="U419" s="2" t="s">
        <v>0</v>
      </c>
    </row>
    <row r="420" spans="1:21">
      <c r="A420" s="2" t="s">
        <v>2255</v>
      </c>
      <c r="B420" s="2" t="s">
        <v>27</v>
      </c>
      <c r="C420" s="2" t="s">
        <v>2256</v>
      </c>
      <c r="D420" s="2" t="s">
        <v>2257</v>
      </c>
      <c r="E420" s="2" t="s">
        <v>2258</v>
      </c>
      <c r="F420" s="2" t="s">
        <v>2259</v>
      </c>
      <c r="G420" s="2" t="s">
        <v>2260</v>
      </c>
      <c r="H420" s="2" t="s">
        <v>2261</v>
      </c>
      <c r="I420" s="2" t="s">
        <v>0</v>
      </c>
      <c r="J420" s="2" t="s">
        <v>0</v>
      </c>
      <c r="K420" s="2" t="s">
        <v>2262</v>
      </c>
      <c r="L420" s="2" t="s">
        <v>2170</v>
      </c>
      <c r="M420" s="2" t="s">
        <v>0</v>
      </c>
      <c r="N420" s="2" t="s">
        <v>12</v>
      </c>
      <c r="O420" s="2" t="s">
        <v>13</v>
      </c>
      <c r="P420" s="2" t="s">
        <v>14</v>
      </c>
      <c r="Q420" s="2" t="s">
        <v>15</v>
      </c>
      <c r="R420" s="2" t="s">
        <v>16</v>
      </c>
      <c r="S420" s="2" t="s">
        <v>17</v>
      </c>
      <c r="T420" s="2" t="s">
        <v>35</v>
      </c>
      <c r="U420" s="2" t="s">
        <v>2263</v>
      </c>
    </row>
    <row r="421" spans="1:21">
      <c r="A421" s="2" t="s">
        <v>2264</v>
      </c>
      <c r="B421" s="2" t="s">
        <v>27</v>
      </c>
      <c r="C421" s="2" t="s">
        <v>2265</v>
      </c>
      <c r="D421" s="2" t="s">
        <v>2266</v>
      </c>
      <c r="E421" s="2" t="s">
        <v>2267</v>
      </c>
      <c r="F421" s="2" t="s">
        <v>210</v>
      </c>
      <c r="G421" s="2" t="s">
        <v>211</v>
      </c>
      <c r="H421" s="2" t="s">
        <v>2261</v>
      </c>
      <c r="I421" s="2" t="s">
        <v>0</v>
      </c>
      <c r="J421" s="2" t="s">
        <v>0</v>
      </c>
      <c r="K421" s="2" t="s">
        <v>2262</v>
      </c>
      <c r="L421" s="2" t="s">
        <v>2170</v>
      </c>
      <c r="M421" s="2" t="s">
        <v>0</v>
      </c>
      <c r="N421" s="2" t="s">
        <v>12</v>
      </c>
      <c r="O421" s="2" t="s">
        <v>13</v>
      </c>
      <c r="P421" s="2" t="s">
        <v>14</v>
      </c>
      <c r="Q421" s="2" t="s">
        <v>15</v>
      </c>
      <c r="R421" s="2" t="s">
        <v>16</v>
      </c>
      <c r="S421" s="2" t="s">
        <v>17</v>
      </c>
      <c r="T421" s="2" t="s">
        <v>35</v>
      </c>
      <c r="U421" s="2" t="s">
        <v>0</v>
      </c>
    </row>
    <row r="422" spans="1:21">
      <c r="A422" s="2" t="s">
        <v>2268</v>
      </c>
      <c r="B422" s="2" t="s">
        <v>27</v>
      </c>
      <c r="C422" s="2" t="s">
        <v>2269</v>
      </c>
      <c r="D422" s="2" t="s">
        <v>2270</v>
      </c>
      <c r="E422" s="2" t="s">
        <v>2271</v>
      </c>
      <c r="F422" s="2" t="s">
        <v>210</v>
      </c>
      <c r="G422" s="2" t="s">
        <v>211</v>
      </c>
      <c r="H422" s="2" t="s">
        <v>2261</v>
      </c>
      <c r="I422" s="2" t="s">
        <v>0</v>
      </c>
      <c r="J422" s="2" t="s">
        <v>0</v>
      </c>
      <c r="K422" s="2" t="s">
        <v>2262</v>
      </c>
      <c r="L422" s="2" t="s">
        <v>2170</v>
      </c>
      <c r="M422" s="2" t="s">
        <v>0</v>
      </c>
      <c r="N422" s="2" t="s">
        <v>12</v>
      </c>
      <c r="O422" s="2" t="s">
        <v>13</v>
      </c>
      <c r="P422" s="2" t="s">
        <v>14</v>
      </c>
      <c r="Q422" s="2" t="s">
        <v>15</v>
      </c>
      <c r="R422" s="2" t="s">
        <v>16</v>
      </c>
      <c r="S422" s="2" t="s">
        <v>17</v>
      </c>
      <c r="T422" s="2" t="s">
        <v>35</v>
      </c>
      <c r="U422" s="2" t="s">
        <v>2272</v>
      </c>
    </row>
    <row r="423" spans="1:21">
      <c r="A423" s="2" t="s">
        <v>2273</v>
      </c>
      <c r="B423" s="2" t="s">
        <v>27</v>
      </c>
      <c r="C423" s="2" t="s">
        <v>2274</v>
      </c>
      <c r="D423" s="2" t="s">
        <v>2275</v>
      </c>
      <c r="E423" s="2" t="s">
        <v>2276</v>
      </c>
      <c r="F423" s="2" t="s">
        <v>226</v>
      </c>
      <c r="G423" s="2" t="s">
        <v>227</v>
      </c>
      <c r="H423" s="2" t="s">
        <v>2261</v>
      </c>
      <c r="I423" s="2" t="s">
        <v>0</v>
      </c>
      <c r="J423" s="2" t="s">
        <v>0</v>
      </c>
      <c r="K423" s="2" t="s">
        <v>2262</v>
      </c>
      <c r="L423" s="2" t="s">
        <v>2170</v>
      </c>
      <c r="M423" s="2" t="s">
        <v>0</v>
      </c>
      <c r="N423" s="2" t="s">
        <v>12</v>
      </c>
      <c r="O423" s="2" t="s">
        <v>13</v>
      </c>
      <c r="P423" s="2" t="s">
        <v>14</v>
      </c>
      <c r="Q423" s="2" t="s">
        <v>15</v>
      </c>
      <c r="R423" s="2" t="s">
        <v>16</v>
      </c>
      <c r="S423" s="2" t="s">
        <v>17</v>
      </c>
      <c r="T423" s="2" t="s">
        <v>35</v>
      </c>
      <c r="U423" s="2" t="s">
        <v>0</v>
      </c>
    </row>
    <row r="424" spans="1:21">
      <c r="A424" s="2" t="s">
        <v>2277</v>
      </c>
      <c r="B424" s="2" t="s">
        <v>27</v>
      </c>
      <c r="C424" s="2" t="s">
        <v>2278</v>
      </c>
      <c r="D424" s="2" t="s">
        <v>2279</v>
      </c>
      <c r="E424" s="2" t="s">
        <v>2280</v>
      </c>
      <c r="F424" s="2" t="s">
        <v>226</v>
      </c>
      <c r="G424" s="2" t="s">
        <v>227</v>
      </c>
      <c r="H424" s="2" t="s">
        <v>2261</v>
      </c>
      <c r="I424" s="2" t="s">
        <v>0</v>
      </c>
      <c r="J424" s="2" t="s">
        <v>0</v>
      </c>
      <c r="K424" s="2" t="s">
        <v>2262</v>
      </c>
      <c r="L424" s="2" t="s">
        <v>2170</v>
      </c>
      <c r="M424" s="2" t="s">
        <v>0</v>
      </c>
      <c r="N424" s="2" t="s">
        <v>12</v>
      </c>
      <c r="O424" s="2" t="s">
        <v>13</v>
      </c>
      <c r="P424" s="2" t="s">
        <v>14</v>
      </c>
      <c r="Q424" s="2" t="s">
        <v>15</v>
      </c>
      <c r="R424" s="2" t="s">
        <v>16</v>
      </c>
      <c r="S424" s="2" t="s">
        <v>17</v>
      </c>
      <c r="T424" s="2" t="s">
        <v>35</v>
      </c>
      <c r="U424" s="2" t="s">
        <v>2281</v>
      </c>
    </row>
    <row r="425" spans="1:21">
      <c r="A425" s="2" t="s">
        <v>2282</v>
      </c>
      <c r="B425" s="2" t="s">
        <v>3</v>
      </c>
      <c r="C425" s="2" t="s">
        <v>2283</v>
      </c>
      <c r="D425" s="2" t="s">
        <v>2284</v>
      </c>
      <c r="E425" s="2" t="s">
        <v>2285</v>
      </c>
      <c r="F425" s="2" t="s">
        <v>226</v>
      </c>
      <c r="G425" s="2" t="s">
        <v>227</v>
      </c>
      <c r="H425" s="2" t="s">
        <v>2261</v>
      </c>
      <c r="I425" s="2" t="s">
        <v>0</v>
      </c>
      <c r="J425" s="2" t="s">
        <v>0</v>
      </c>
      <c r="K425" s="2" t="s">
        <v>2262</v>
      </c>
      <c r="L425" s="2" t="s">
        <v>2170</v>
      </c>
      <c r="M425" s="2" t="s">
        <v>0</v>
      </c>
      <c r="N425" s="2" t="s">
        <v>12</v>
      </c>
      <c r="O425" s="2" t="s">
        <v>13</v>
      </c>
      <c r="P425" s="2" t="s">
        <v>14</v>
      </c>
      <c r="Q425" s="2" t="s">
        <v>15</v>
      </c>
      <c r="R425" s="2" t="s">
        <v>16</v>
      </c>
      <c r="S425" s="2" t="s">
        <v>17</v>
      </c>
      <c r="T425" s="2" t="s">
        <v>18</v>
      </c>
      <c r="U425" s="2" t="s">
        <v>0</v>
      </c>
    </row>
    <row r="426" spans="1:21">
      <c r="A426" s="2" t="s">
        <v>2286</v>
      </c>
      <c r="B426" s="2" t="s">
        <v>3</v>
      </c>
      <c r="C426" s="2" t="s">
        <v>2287</v>
      </c>
      <c r="D426" s="2" t="s">
        <v>2288</v>
      </c>
      <c r="E426" s="2" t="s">
        <v>2289</v>
      </c>
      <c r="F426" s="2" t="s">
        <v>2290</v>
      </c>
      <c r="G426" s="2" t="s">
        <v>2291</v>
      </c>
      <c r="H426" s="2" t="s">
        <v>2292</v>
      </c>
      <c r="I426" s="2" t="s">
        <v>0</v>
      </c>
      <c r="J426" s="2" t="s">
        <v>2293</v>
      </c>
      <c r="K426" s="2" t="s">
        <v>0</v>
      </c>
      <c r="L426" s="2" t="s">
        <v>2294</v>
      </c>
      <c r="M426" s="2" t="s">
        <v>0</v>
      </c>
      <c r="N426" s="2" t="s">
        <v>0</v>
      </c>
      <c r="O426" s="2" t="s">
        <v>82</v>
      </c>
      <c r="P426" s="2" t="s">
        <v>33</v>
      </c>
      <c r="Q426" s="2" t="s">
        <v>83</v>
      </c>
      <c r="R426" s="2" t="s">
        <v>34</v>
      </c>
      <c r="S426" s="2" t="s">
        <v>205</v>
      </c>
      <c r="T426" s="2" t="s">
        <v>18</v>
      </c>
      <c r="U426" s="2" t="s">
        <v>0</v>
      </c>
    </row>
    <row r="427" spans="1:21">
      <c r="A427" s="2" t="s">
        <v>2295</v>
      </c>
      <c r="B427" s="2" t="s">
        <v>3</v>
      </c>
      <c r="C427" s="2" t="s">
        <v>2296</v>
      </c>
      <c r="D427" s="2" t="s">
        <v>2297</v>
      </c>
      <c r="E427" s="2" t="s">
        <v>2298</v>
      </c>
      <c r="F427" s="2" t="s">
        <v>2299</v>
      </c>
      <c r="G427" s="2" t="s">
        <v>2300</v>
      </c>
      <c r="H427" s="2" t="s">
        <v>2292</v>
      </c>
      <c r="I427" s="2" t="s">
        <v>0</v>
      </c>
      <c r="J427" s="2" t="s">
        <v>2293</v>
      </c>
      <c r="K427" s="2" t="s">
        <v>0</v>
      </c>
      <c r="L427" s="2" t="s">
        <v>2294</v>
      </c>
      <c r="M427" s="2" t="s">
        <v>0</v>
      </c>
      <c r="N427" s="2" t="s">
        <v>0</v>
      </c>
      <c r="O427" s="2" t="s">
        <v>82</v>
      </c>
      <c r="P427" s="2" t="s">
        <v>33</v>
      </c>
      <c r="Q427" s="2" t="s">
        <v>83</v>
      </c>
      <c r="R427" s="2" t="s">
        <v>34</v>
      </c>
      <c r="S427" s="2" t="s">
        <v>205</v>
      </c>
      <c r="T427" s="2" t="s">
        <v>18</v>
      </c>
      <c r="U427" s="2" t="s">
        <v>0</v>
      </c>
    </row>
    <row r="428" spans="1:21">
      <c r="A428" s="2" t="s">
        <v>2301</v>
      </c>
      <c r="B428" s="2" t="s">
        <v>3</v>
      </c>
      <c r="C428" s="2" t="s">
        <v>2302</v>
      </c>
      <c r="D428" s="2" t="s">
        <v>2303</v>
      </c>
      <c r="E428" s="2" t="s">
        <v>2304</v>
      </c>
      <c r="F428" s="2" t="s">
        <v>2305</v>
      </c>
      <c r="G428" s="2" t="s">
        <v>2306</v>
      </c>
      <c r="H428" s="2" t="s">
        <v>2292</v>
      </c>
      <c r="I428" s="2" t="s">
        <v>0</v>
      </c>
      <c r="J428" s="2" t="s">
        <v>2293</v>
      </c>
      <c r="K428" s="2" t="s">
        <v>0</v>
      </c>
      <c r="L428" s="2" t="s">
        <v>2294</v>
      </c>
      <c r="M428" s="2" t="s">
        <v>0</v>
      </c>
      <c r="N428" s="2" t="s">
        <v>0</v>
      </c>
      <c r="O428" s="2" t="s">
        <v>82</v>
      </c>
      <c r="P428" s="2" t="s">
        <v>33</v>
      </c>
      <c r="Q428" s="2" t="s">
        <v>214</v>
      </c>
      <c r="R428" s="2" t="s">
        <v>34</v>
      </c>
      <c r="S428" s="2" t="s">
        <v>205</v>
      </c>
      <c r="T428" s="2" t="s">
        <v>18</v>
      </c>
      <c r="U428" s="2" t="s">
        <v>0</v>
      </c>
    </row>
    <row r="429" spans="1:21">
      <c r="A429" s="2" t="s">
        <v>2307</v>
      </c>
      <c r="B429" s="2" t="s">
        <v>46</v>
      </c>
      <c r="C429" s="2" t="s">
        <v>2308</v>
      </c>
      <c r="D429" s="2" t="s">
        <v>2309</v>
      </c>
      <c r="E429" s="2" t="s">
        <v>2310</v>
      </c>
      <c r="F429" s="2" t="s">
        <v>2311</v>
      </c>
      <c r="G429" s="2" t="s">
        <v>2312</v>
      </c>
      <c r="H429" s="2" t="s">
        <v>2313</v>
      </c>
      <c r="I429" s="2" t="s">
        <v>0</v>
      </c>
      <c r="J429" s="2" t="s">
        <v>0</v>
      </c>
      <c r="K429" s="2" t="s">
        <v>0</v>
      </c>
      <c r="L429" s="2" t="s">
        <v>0</v>
      </c>
      <c r="M429" s="2" t="s">
        <v>2294</v>
      </c>
      <c r="N429" s="2" t="s">
        <v>0</v>
      </c>
      <c r="O429" s="2" t="s">
        <v>82</v>
      </c>
      <c r="P429" s="2" t="s">
        <v>33</v>
      </c>
      <c r="Q429" s="2" t="s">
        <v>214</v>
      </c>
      <c r="R429" s="2" t="s">
        <v>34</v>
      </c>
      <c r="S429" s="2" t="s">
        <v>84</v>
      </c>
      <c r="T429" s="2" t="s">
        <v>18</v>
      </c>
      <c r="U429" s="2" t="s">
        <v>2314</v>
      </c>
    </row>
    <row r="430" spans="1:21">
      <c r="A430" s="2" t="s">
        <v>2315</v>
      </c>
      <c r="B430" s="2" t="s">
        <v>3</v>
      </c>
      <c r="C430" s="2" t="s">
        <v>2316</v>
      </c>
      <c r="D430" s="2" t="s">
        <v>2317</v>
      </c>
      <c r="E430" s="2" t="s">
        <v>2318</v>
      </c>
      <c r="F430" s="2" t="s">
        <v>2319</v>
      </c>
      <c r="G430" s="2" t="s">
        <v>2320</v>
      </c>
      <c r="H430" s="2" t="s">
        <v>2313</v>
      </c>
      <c r="I430" s="2" t="s">
        <v>0</v>
      </c>
      <c r="J430" s="2" t="s">
        <v>0</v>
      </c>
      <c r="K430" s="2" t="s">
        <v>0</v>
      </c>
      <c r="L430" s="2" t="s">
        <v>0</v>
      </c>
      <c r="M430" s="2" t="s">
        <v>2294</v>
      </c>
      <c r="N430" s="2" t="s">
        <v>0</v>
      </c>
      <c r="O430" s="2" t="s">
        <v>82</v>
      </c>
      <c r="P430" s="2" t="s">
        <v>14</v>
      </c>
      <c r="Q430" s="2" t="s">
        <v>52</v>
      </c>
      <c r="R430" s="2" t="s">
        <v>53</v>
      </c>
      <c r="S430" s="2" t="s">
        <v>17</v>
      </c>
      <c r="T430" s="2" t="s">
        <v>18</v>
      </c>
      <c r="U430" s="2" t="s">
        <v>2321</v>
      </c>
    </row>
    <row r="431" spans="1:21">
      <c r="A431" s="2" t="s">
        <v>2322</v>
      </c>
      <c r="B431" s="2" t="s">
        <v>3</v>
      </c>
      <c r="C431" s="2" t="s">
        <v>2323</v>
      </c>
      <c r="D431" s="2" t="s">
        <v>2324</v>
      </c>
      <c r="E431" s="2" t="s">
        <v>2325</v>
      </c>
      <c r="F431" s="2" t="s">
        <v>7</v>
      </c>
      <c r="G431" s="2" t="s">
        <v>8</v>
      </c>
      <c r="H431" s="2" t="s">
        <v>2326</v>
      </c>
      <c r="I431" s="2" t="s">
        <v>0</v>
      </c>
      <c r="J431" s="2" t="s">
        <v>2327</v>
      </c>
      <c r="K431" s="2" t="s">
        <v>0</v>
      </c>
      <c r="L431" s="2" t="s">
        <v>2294</v>
      </c>
      <c r="M431" s="2" t="s">
        <v>0</v>
      </c>
      <c r="N431" s="2" t="s">
        <v>0</v>
      </c>
      <c r="O431" s="2" t="s">
        <v>82</v>
      </c>
      <c r="P431" s="2" t="s">
        <v>33</v>
      </c>
      <c r="Q431" s="2" t="s">
        <v>83</v>
      </c>
      <c r="R431" s="2" t="s">
        <v>34</v>
      </c>
      <c r="S431" s="2" t="s">
        <v>84</v>
      </c>
      <c r="T431" s="2" t="s">
        <v>18</v>
      </c>
      <c r="U431" s="2" t="s">
        <v>0</v>
      </c>
    </row>
    <row r="432" spans="1:21">
      <c r="A432" s="2" t="s">
        <v>2328</v>
      </c>
      <c r="B432" s="2" t="s">
        <v>3</v>
      </c>
      <c r="C432" s="2" t="s">
        <v>2329</v>
      </c>
      <c r="D432" s="2" t="s">
        <v>2330</v>
      </c>
      <c r="E432" s="2" t="s">
        <v>2331</v>
      </c>
      <c r="F432" s="2" t="s">
        <v>2290</v>
      </c>
      <c r="G432" s="2" t="s">
        <v>2291</v>
      </c>
      <c r="H432" s="2" t="s">
        <v>2326</v>
      </c>
      <c r="I432" s="2" t="s">
        <v>0</v>
      </c>
      <c r="J432" s="2" t="s">
        <v>2327</v>
      </c>
      <c r="K432" s="2" t="s">
        <v>0</v>
      </c>
      <c r="L432" s="2" t="s">
        <v>2294</v>
      </c>
      <c r="M432" s="2" t="s">
        <v>0</v>
      </c>
      <c r="N432" s="2" t="s">
        <v>0</v>
      </c>
      <c r="O432" s="2" t="s">
        <v>82</v>
      </c>
      <c r="P432" s="2" t="s">
        <v>33</v>
      </c>
      <c r="Q432" s="2" t="s">
        <v>83</v>
      </c>
      <c r="R432" s="2" t="s">
        <v>34</v>
      </c>
      <c r="S432" s="2" t="s">
        <v>84</v>
      </c>
      <c r="T432" s="2" t="s">
        <v>18</v>
      </c>
      <c r="U432" s="2" t="s">
        <v>2332</v>
      </c>
    </row>
    <row r="433" spans="1:21">
      <c r="A433" s="2" t="s">
        <v>2333</v>
      </c>
      <c r="B433" s="2" t="s">
        <v>27</v>
      </c>
      <c r="C433" s="2" t="s">
        <v>2334</v>
      </c>
      <c r="D433" s="2" t="s">
        <v>2335</v>
      </c>
      <c r="E433" s="2" t="s">
        <v>2336</v>
      </c>
      <c r="F433" s="2" t="s">
        <v>2337</v>
      </c>
      <c r="G433" s="2" t="s">
        <v>2338</v>
      </c>
      <c r="H433" s="2" t="s">
        <v>2326</v>
      </c>
      <c r="I433" s="2" t="s">
        <v>0</v>
      </c>
      <c r="J433" s="2" t="s">
        <v>2327</v>
      </c>
      <c r="K433" s="2" t="s">
        <v>0</v>
      </c>
      <c r="L433" s="2" t="s">
        <v>2294</v>
      </c>
      <c r="M433" s="2" t="s">
        <v>0</v>
      </c>
      <c r="N433" s="2" t="s">
        <v>0</v>
      </c>
      <c r="O433" s="2" t="s">
        <v>82</v>
      </c>
      <c r="P433" s="2" t="s">
        <v>33</v>
      </c>
      <c r="Q433" s="2" t="s">
        <v>214</v>
      </c>
      <c r="R433" s="2" t="s">
        <v>34</v>
      </c>
      <c r="S433" s="2" t="s">
        <v>84</v>
      </c>
      <c r="T433" s="2" t="s">
        <v>35</v>
      </c>
      <c r="U433" s="2" t="s">
        <v>0</v>
      </c>
    </row>
    <row r="434" spans="1:21">
      <c r="A434" s="2" t="s">
        <v>2339</v>
      </c>
      <c r="B434" s="2" t="s">
        <v>46</v>
      </c>
      <c r="C434" s="2" t="s">
        <v>2340</v>
      </c>
      <c r="D434" s="2" t="s">
        <v>2341</v>
      </c>
      <c r="E434" s="2" t="s">
        <v>2342</v>
      </c>
      <c r="F434" s="2" t="s">
        <v>2290</v>
      </c>
      <c r="G434" s="2" t="s">
        <v>2291</v>
      </c>
      <c r="H434" s="2" t="s">
        <v>2326</v>
      </c>
      <c r="I434" s="2" t="s">
        <v>0</v>
      </c>
      <c r="J434" s="2" t="s">
        <v>2327</v>
      </c>
      <c r="K434" s="2" t="s">
        <v>0</v>
      </c>
      <c r="L434" s="2" t="s">
        <v>2294</v>
      </c>
      <c r="M434" s="2" t="s">
        <v>0</v>
      </c>
      <c r="N434" s="2" t="s">
        <v>0</v>
      </c>
      <c r="O434" s="2" t="s">
        <v>82</v>
      </c>
      <c r="P434" s="2" t="s">
        <v>33</v>
      </c>
      <c r="Q434" s="2" t="s">
        <v>214</v>
      </c>
      <c r="R434" s="2" t="s">
        <v>34</v>
      </c>
      <c r="S434" s="2" t="s">
        <v>84</v>
      </c>
      <c r="T434" s="2" t="s">
        <v>18</v>
      </c>
      <c r="U434" s="2" t="s">
        <v>0</v>
      </c>
    </row>
    <row r="435" spans="1:21">
      <c r="A435" s="2" t="s">
        <v>2343</v>
      </c>
      <c r="B435" s="2" t="s">
        <v>3</v>
      </c>
      <c r="C435" s="2" t="s">
        <v>2344</v>
      </c>
      <c r="D435" s="2" t="s">
        <v>2345</v>
      </c>
      <c r="E435" s="2" t="s">
        <v>2346</v>
      </c>
      <c r="F435" s="2" t="s">
        <v>2305</v>
      </c>
      <c r="G435" s="2" t="s">
        <v>2306</v>
      </c>
      <c r="H435" s="2" t="s">
        <v>2326</v>
      </c>
      <c r="I435" s="2" t="s">
        <v>0</v>
      </c>
      <c r="J435" s="2" t="s">
        <v>2327</v>
      </c>
      <c r="K435" s="2" t="s">
        <v>0</v>
      </c>
      <c r="L435" s="2" t="s">
        <v>2294</v>
      </c>
      <c r="M435" s="2" t="s">
        <v>0</v>
      </c>
      <c r="N435" s="2" t="s">
        <v>0</v>
      </c>
      <c r="O435" s="2" t="s">
        <v>82</v>
      </c>
      <c r="P435" s="2" t="s">
        <v>33</v>
      </c>
      <c r="Q435" s="2" t="s">
        <v>214</v>
      </c>
      <c r="R435" s="2" t="s">
        <v>34</v>
      </c>
      <c r="S435" s="2" t="s">
        <v>84</v>
      </c>
      <c r="T435" s="2" t="s">
        <v>18</v>
      </c>
      <c r="U435" s="2" t="s">
        <v>0</v>
      </c>
    </row>
    <row r="436" spans="1:21">
      <c r="A436" s="2" t="s">
        <v>2347</v>
      </c>
      <c r="B436" s="2" t="s">
        <v>46</v>
      </c>
      <c r="C436" s="2" t="s">
        <v>2348</v>
      </c>
      <c r="D436" s="2" t="s">
        <v>2349</v>
      </c>
      <c r="E436" s="2" t="s">
        <v>2350</v>
      </c>
      <c r="F436" s="2" t="s">
        <v>7</v>
      </c>
      <c r="G436" s="2" t="s">
        <v>8</v>
      </c>
      <c r="H436" s="2" t="s">
        <v>2326</v>
      </c>
      <c r="I436" s="2" t="s">
        <v>0</v>
      </c>
      <c r="J436" s="2" t="s">
        <v>2327</v>
      </c>
      <c r="K436" s="2" t="s">
        <v>0</v>
      </c>
      <c r="L436" s="2" t="s">
        <v>2294</v>
      </c>
      <c r="M436" s="2" t="s">
        <v>0</v>
      </c>
      <c r="N436" s="2" t="s">
        <v>0</v>
      </c>
      <c r="O436" s="2" t="s">
        <v>82</v>
      </c>
      <c r="P436" s="2" t="s">
        <v>14</v>
      </c>
      <c r="Q436" s="2" t="s">
        <v>52</v>
      </c>
      <c r="R436" s="2" t="s">
        <v>53</v>
      </c>
      <c r="S436" s="2" t="s">
        <v>17</v>
      </c>
      <c r="T436" s="2" t="s">
        <v>18</v>
      </c>
      <c r="U436" s="2" t="s">
        <v>0</v>
      </c>
    </row>
    <row r="437" spans="1:21">
      <c r="A437" s="2" t="s">
        <v>2351</v>
      </c>
      <c r="B437" s="2" t="s">
        <v>27</v>
      </c>
      <c r="C437" s="2" t="s">
        <v>2352</v>
      </c>
      <c r="D437" s="2" t="s">
        <v>2353</v>
      </c>
      <c r="E437" s="2" t="s">
        <v>2354</v>
      </c>
      <c r="F437" s="2" t="s">
        <v>2355</v>
      </c>
      <c r="G437" s="2" t="s">
        <v>2356</v>
      </c>
      <c r="H437" s="2" t="s">
        <v>2357</v>
      </c>
      <c r="I437" s="2" t="s">
        <v>2358</v>
      </c>
      <c r="J437" s="2" t="s">
        <v>0</v>
      </c>
      <c r="K437" s="2" t="s">
        <v>2359</v>
      </c>
      <c r="L437" s="2" t="s">
        <v>2360</v>
      </c>
      <c r="M437" s="2" t="s">
        <v>0</v>
      </c>
      <c r="N437" s="2" t="s">
        <v>12</v>
      </c>
      <c r="O437" s="2" t="s">
        <v>13</v>
      </c>
      <c r="P437" s="2" t="s">
        <v>14</v>
      </c>
      <c r="Q437" s="2" t="s">
        <v>15</v>
      </c>
      <c r="R437" s="2" t="s">
        <v>16</v>
      </c>
      <c r="S437" s="2" t="s">
        <v>17</v>
      </c>
      <c r="T437" s="2" t="s">
        <v>35</v>
      </c>
      <c r="U437" s="2" t="s">
        <v>0</v>
      </c>
    </row>
    <row r="438" spans="1:21">
      <c r="A438" s="2" t="s">
        <v>2361</v>
      </c>
      <c r="B438" s="2" t="s">
        <v>27</v>
      </c>
      <c r="C438" s="2" t="s">
        <v>2362</v>
      </c>
      <c r="D438" s="2" t="s">
        <v>2363</v>
      </c>
      <c r="E438" s="2" t="s">
        <v>2364</v>
      </c>
      <c r="F438" s="2" t="s">
        <v>226</v>
      </c>
      <c r="G438" s="2" t="s">
        <v>227</v>
      </c>
      <c r="H438" s="2" t="s">
        <v>2357</v>
      </c>
      <c r="I438" s="2" t="s">
        <v>2358</v>
      </c>
      <c r="J438" s="2" t="s">
        <v>0</v>
      </c>
      <c r="K438" s="2" t="s">
        <v>2359</v>
      </c>
      <c r="L438" s="2" t="s">
        <v>2360</v>
      </c>
      <c r="M438" s="2" t="s">
        <v>0</v>
      </c>
      <c r="N438" s="2" t="s">
        <v>12</v>
      </c>
      <c r="O438" s="2" t="s">
        <v>13</v>
      </c>
      <c r="P438" s="2" t="s">
        <v>14</v>
      </c>
      <c r="Q438" s="2" t="s">
        <v>819</v>
      </c>
      <c r="R438" s="2" t="s">
        <v>820</v>
      </c>
      <c r="S438" s="2" t="s">
        <v>17</v>
      </c>
      <c r="T438" s="2" t="s">
        <v>35</v>
      </c>
      <c r="U438" s="2" t="s">
        <v>0</v>
      </c>
    </row>
    <row r="439" spans="1:21">
      <c r="A439" s="2" t="s">
        <v>2365</v>
      </c>
      <c r="B439" s="2" t="s">
        <v>27</v>
      </c>
      <c r="C439" s="2" t="s">
        <v>2217</v>
      </c>
      <c r="D439" s="2" t="s">
        <v>2366</v>
      </c>
      <c r="E439" s="2" t="s">
        <v>2367</v>
      </c>
      <c r="F439" s="2" t="s">
        <v>210</v>
      </c>
      <c r="G439" s="2" t="s">
        <v>211</v>
      </c>
      <c r="H439" s="2" t="s">
        <v>2368</v>
      </c>
      <c r="I439" s="2" t="s">
        <v>2369</v>
      </c>
      <c r="J439" s="2" t="s">
        <v>0</v>
      </c>
      <c r="K439" s="2" t="s">
        <v>2359</v>
      </c>
      <c r="L439" s="2" t="s">
        <v>2360</v>
      </c>
      <c r="M439" s="2" t="s">
        <v>0</v>
      </c>
      <c r="N439" s="2" t="s">
        <v>12</v>
      </c>
      <c r="O439" s="2" t="s">
        <v>13</v>
      </c>
      <c r="P439" s="2" t="s">
        <v>14</v>
      </c>
      <c r="Q439" s="2" t="s">
        <v>15</v>
      </c>
      <c r="R439" s="2" t="s">
        <v>16</v>
      </c>
      <c r="S439" s="2" t="s">
        <v>17</v>
      </c>
      <c r="T439" s="2" t="s">
        <v>35</v>
      </c>
      <c r="U439" s="2" t="s">
        <v>2370</v>
      </c>
    </row>
    <row r="440" spans="1:21">
      <c r="A440" s="2" t="s">
        <v>2371</v>
      </c>
      <c r="B440" s="2" t="s">
        <v>27</v>
      </c>
      <c r="C440" s="2" t="s">
        <v>2372</v>
      </c>
      <c r="D440" s="2" t="s">
        <v>1215</v>
      </c>
      <c r="E440" s="2" t="s">
        <v>2373</v>
      </c>
      <c r="F440" s="2" t="s">
        <v>226</v>
      </c>
      <c r="G440" s="2" t="s">
        <v>227</v>
      </c>
      <c r="H440" s="2" t="s">
        <v>2368</v>
      </c>
      <c r="I440" s="2" t="s">
        <v>2369</v>
      </c>
      <c r="J440" s="2" t="s">
        <v>0</v>
      </c>
      <c r="K440" s="2" t="s">
        <v>2359</v>
      </c>
      <c r="L440" s="2" t="s">
        <v>2360</v>
      </c>
      <c r="M440" s="2" t="s">
        <v>0</v>
      </c>
      <c r="N440" s="2" t="s">
        <v>12</v>
      </c>
      <c r="O440" s="2" t="s">
        <v>13</v>
      </c>
      <c r="P440" s="2" t="s">
        <v>14</v>
      </c>
      <c r="Q440" s="2" t="s">
        <v>15</v>
      </c>
      <c r="R440" s="2" t="s">
        <v>16</v>
      </c>
      <c r="S440" s="2" t="s">
        <v>17</v>
      </c>
      <c r="T440" s="2" t="s">
        <v>35</v>
      </c>
      <c r="U440" s="2" t="s">
        <v>2374</v>
      </c>
    </row>
    <row r="441" spans="1:21">
      <c r="A441" s="2" t="s">
        <v>2375</v>
      </c>
      <c r="B441" s="2" t="s">
        <v>27</v>
      </c>
      <c r="C441" s="2" t="s">
        <v>2376</v>
      </c>
      <c r="D441" s="2" t="s">
        <v>1504</v>
      </c>
      <c r="E441" s="2" t="s">
        <v>2377</v>
      </c>
      <c r="F441" s="2" t="s">
        <v>2378</v>
      </c>
      <c r="G441" s="2" t="s">
        <v>2379</v>
      </c>
      <c r="H441" s="2" t="s">
        <v>2368</v>
      </c>
      <c r="I441" s="2" t="s">
        <v>2369</v>
      </c>
      <c r="J441" s="2" t="s">
        <v>0</v>
      </c>
      <c r="K441" s="2" t="s">
        <v>2359</v>
      </c>
      <c r="L441" s="2" t="s">
        <v>2360</v>
      </c>
      <c r="M441" s="2" t="s">
        <v>0</v>
      </c>
      <c r="N441" s="2" t="s">
        <v>12</v>
      </c>
      <c r="O441" s="2" t="s">
        <v>13</v>
      </c>
      <c r="P441" s="2" t="s">
        <v>14</v>
      </c>
      <c r="Q441" s="2" t="s">
        <v>52</v>
      </c>
      <c r="R441" s="2" t="s">
        <v>53</v>
      </c>
      <c r="S441" s="2" t="s">
        <v>17</v>
      </c>
      <c r="T441" s="2" t="s">
        <v>35</v>
      </c>
      <c r="U441" s="2" t="s">
        <v>2380</v>
      </c>
    </row>
    <row r="442" spans="1:21">
      <c r="A442" s="2" t="s">
        <v>2381</v>
      </c>
      <c r="B442" s="2" t="s">
        <v>27</v>
      </c>
      <c r="C442" s="2" t="s">
        <v>503</v>
      </c>
      <c r="D442" s="2" t="s">
        <v>2382</v>
      </c>
      <c r="E442" s="2" t="s">
        <v>2383</v>
      </c>
      <c r="F442" s="2" t="s">
        <v>226</v>
      </c>
      <c r="G442" s="2" t="s">
        <v>227</v>
      </c>
      <c r="H442" s="2" t="s">
        <v>2368</v>
      </c>
      <c r="I442" s="2" t="s">
        <v>2369</v>
      </c>
      <c r="J442" s="2" t="s">
        <v>0</v>
      </c>
      <c r="K442" s="2" t="s">
        <v>2359</v>
      </c>
      <c r="L442" s="2" t="s">
        <v>2360</v>
      </c>
      <c r="M442" s="2" t="s">
        <v>0</v>
      </c>
      <c r="N442" s="2" t="s">
        <v>12</v>
      </c>
      <c r="O442" s="2" t="s">
        <v>13</v>
      </c>
      <c r="P442" s="2" t="s">
        <v>14</v>
      </c>
      <c r="Q442" s="2" t="s">
        <v>52</v>
      </c>
      <c r="R442" s="2" t="s">
        <v>53</v>
      </c>
      <c r="S442" s="2" t="s">
        <v>17</v>
      </c>
      <c r="T442" s="2" t="s">
        <v>35</v>
      </c>
      <c r="U442" s="2" t="s">
        <v>0</v>
      </c>
    </row>
    <row r="443" spans="1:21">
      <c r="A443" s="2" t="s">
        <v>2384</v>
      </c>
      <c r="B443" s="2" t="s">
        <v>27</v>
      </c>
      <c r="C443" s="2" t="s">
        <v>2385</v>
      </c>
      <c r="D443" s="2" t="s">
        <v>2386</v>
      </c>
      <c r="E443" s="2" t="s">
        <v>2387</v>
      </c>
      <c r="F443" s="2" t="s">
        <v>226</v>
      </c>
      <c r="G443" s="2" t="s">
        <v>227</v>
      </c>
      <c r="H443" s="2" t="s">
        <v>2368</v>
      </c>
      <c r="I443" s="2" t="s">
        <v>2369</v>
      </c>
      <c r="J443" s="2" t="s">
        <v>0</v>
      </c>
      <c r="K443" s="2" t="s">
        <v>2359</v>
      </c>
      <c r="L443" s="2" t="s">
        <v>2360</v>
      </c>
      <c r="M443" s="2" t="s">
        <v>0</v>
      </c>
      <c r="N443" s="2" t="s">
        <v>12</v>
      </c>
      <c r="O443" s="2" t="s">
        <v>13</v>
      </c>
      <c r="P443" s="2" t="s">
        <v>14</v>
      </c>
      <c r="Q443" s="2" t="s">
        <v>52</v>
      </c>
      <c r="R443" s="2" t="s">
        <v>53</v>
      </c>
      <c r="S443" s="2" t="s">
        <v>17</v>
      </c>
      <c r="T443" s="2" t="s">
        <v>35</v>
      </c>
      <c r="U443" s="2" t="s">
        <v>0</v>
      </c>
    </row>
    <row r="444" spans="1:21">
      <c r="A444" s="2" t="s">
        <v>2388</v>
      </c>
      <c r="B444" s="2" t="s">
        <v>27</v>
      </c>
      <c r="C444" s="2" t="s">
        <v>2389</v>
      </c>
      <c r="D444" s="2" t="s">
        <v>2390</v>
      </c>
      <c r="E444" s="2" t="s">
        <v>2391</v>
      </c>
      <c r="F444" s="2" t="s">
        <v>2392</v>
      </c>
      <c r="G444" s="2" t="s">
        <v>2393</v>
      </c>
      <c r="H444" s="2" t="s">
        <v>2394</v>
      </c>
      <c r="I444" s="2" t="s">
        <v>2395</v>
      </c>
      <c r="J444" s="2" t="s">
        <v>0</v>
      </c>
      <c r="K444" s="2" t="s">
        <v>2396</v>
      </c>
      <c r="L444" s="2" t="s">
        <v>2360</v>
      </c>
      <c r="M444" s="2" t="s">
        <v>0</v>
      </c>
      <c r="N444" s="2" t="s">
        <v>12</v>
      </c>
      <c r="O444" s="2" t="s">
        <v>13</v>
      </c>
      <c r="P444" s="2" t="s">
        <v>14</v>
      </c>
      <c r="Q444" s="2" t="s">
        <v>52</v>
      </c>
      <c r="R444" s="2" t="s">
        <v>53</v>
      </c>
      <c r="S444" s="2" t="s">
        <v>17</v>
      </c>
      <c r="T444" s="2" t="s">
        <v>35</v>
      </c>
      <c r="U444" s="2" t="s">
        <v>2397</v>
      </c>
    </row>
    <row r="445" spans="1:21">
      <c r="A445" s="2" t="s">
        <v>2398</v>
      </c>
      <c r="B445" s="2" t="s">
        <v>27</v>
      </c>
      <c r="C445" s="2" t="s">
        <v>2399</v>
      </c>
      <c r="D445" s="2" t="s">
        <v>2400</v>
      </c>
      <c r="E445" s="2" t="s">
        <v>2401</v>
      </c>
      <c r="F445" s="2" t="s">
        <v>210</v>
      </c>
      <c r="G445" s="2" t="s">
        <v>211</v>
      </c>
      <c r="H445" s="2" t="s">
        <v>2394</v>
      </c>
      <c r="I445" s="2" t="s">
        <v>2395</v>
      </c>
      <c r="J445" s="2" t="s">
        <v>0</v>
      </c>
      <c r="K445" s="2" t="s">
        <v>2396</v>
      </c>
      <c r="L445" s="2" t="s">
        <v>2360</v>
      </c>
      <c r="M445" s="2" t="s">
        <v>0</v>
      </c>
      <c r="N445" s="2" t="s">
        <v>12</v>
      </c>
      <c r="O445" s="2" t="s">
        <v>13</v>
      </c>
      <c r="P445" s="2" t="s">
        <v>14</v>
      </c>
      <c r="Q445" s="2" t="s">
        <v>52</v>
      </c>
      <c r="R445" s="2" t="s">
        <v>53</v>
      </c>
      <c r="S445" s="2" t="s">
        <v>17</v>
      </c>
      <c r="T445" s="2" t="s">
        <v>35</v>
      </c>
      <c r="U445" s="2" t="s">
        <v>2402</v>
      </c>
    </row>
    <row r="446" spans="1:21">
      <c r="A446" s="2" t="s">
        <v>2403</v>
      </c>
      <c r="B446" s="2" t="s">
        <v>3</v>
      </c>
      <c r="C446" s="2" t="s">
        <v>2404</v>
      </c>
      <c r="D446" s="2" t="s">
        <v>2405</v>
      </c>
      <c r="E446" s="2" t="s">
        <v>2406</v>
      </c>
      <c r="F446" s="2" t="s">
        <v>226</v>
      </c>
      <c r="G446" s="2" t="s">
        <v>227</v>
      </c>
      <c r="H446" s="2" t="s">
        <v>2394</v>
      </c>
      <c r="I446" s="2" t="s">
        <v>2395</v>
      </c>
      <c r="J446" s="2" t="s">
        <v>0</v>
      </c>
      <c r="K446" s="2" t="s">
        <v>2396</v>
      </c>
      <c r="L446" s="2" t="s">
        <v>2360</v>
      </c>
      <c r="M446" s="2" t="s">
        <v>0</v>
      </c>
      <c r="N446" s="2" t="s">
        <v>12</v>
      </c>
      <c r="O446" s="2" t="s">
        <v>13</v>
      </c>
      <c r="P446" s="2" t="s">
        <v>14</v>
      </c>
      <c r="Q446" s="2" t="s">
        <v>52</v>
      </c>
      <c r="R446" s="2" t="s">
        <v>53</v>
      </c>
      <c r="S446" s="2" t="s">
        <v>17</v>
      </c>
      <c r="T446" s="2" t="s">
        <v>18</v>
      </c>
      <c r="U446" s="2" t="s">
        <v>0</v>
      </c>
    </row>
    <row r="447" spans="1:21">
      <c r="A447" s="2" t="s">
        <v>2407</v>
      </c>
      <c r="B447" s="2" t="s">
        <v>27</v>
      </c>
      <c r="C447" s="2" t="s">
        <v>2408</v>
      </c>
      <c r="D447" s="2" t="s">
        <v>2409</v>
      </c>
      <c r="E447" s="2" t="s">
        <v>2410</v>
      </c>
      <c r="F447" s="2" t="s">
        <v>226</v>
      </c>
      <c r="G447" s="2" t="s">
        <v>227</v>
      </c>
      <c r="H447" s="2" t="s">
        <v>2394</v>
      </c>
      <c r="I447" s="2" t="s">
        <v>2395</v>
      </c>
      <c r="J447" s="2" t="s">
        <v>0</v>
      </c>
      <c r="K447" s="2" t="s">
        <v>2396</v>
      </c>
      <c r="L447" s="2" t="s">
        <v>2360</v>
      </c>
      <c r="M447" s="2" t="s">
        <v>0</v>
      </c>
      <c r="N447" s="2" t="s">
        <v>12</v>
      </c>
      <c r="O447" s="2" t="s">
        <v>13</v>
      </c>
      <c r="P447" s="2" t="s">
        <v>14</v>
      </c>
      <c r="Q447" s="2" t="s">
        <v>52</v>
      </c>
      <c r="R447" s="2" t="s">
        <v>2411</v>
      </c>
      <c r="S447" s="2" t="s">
        <v>2412</v>
      </c>
      <c r="T447" s="2" t="s">
        <v>35</v>
      </c>
      <c r="U447" s="2" t="s">
        <v>0</v>
      </c>
    </row>
    <row r="448" spans="1:21">
      <c r="A448" s="2" t="s">
        <v>2413</v>
      </c>
      <c r="B448" s="2" t="s">
        <v>3</v>
      </c>
      <c r="C448" s="2" t="s">
        <v>2414</v>
      </c>
      <c r="D448" s="2" t="s">
        <v>2415</v>
      </c>
      <c r="E448" s="2" t="s">
        <v>2416</v>
      </c>
      <c r="F448" s="2" t="s">
        <v>226</v>
      </c>
      <c r="G448" s="2" t="s">
        <v>227</v>
      </c>
      <c r="H448" s="2" t="s">
        <v>2417</v>
      </c>
      <c r="I448" s="2" t="s">
        <v>0</v>
      </c>
      <c r="J448" s="2" t="s">
        <v>0</v>
      </c>
      <c r="K448" s="2" t="s">
        <v>2396</v>
      </c>
      <c r="L448" s="2" t="s">
        <v>2360</v>
      </c>
      <c r="M448" s="2" t="s">
        <v>0</v>
      </c>
      <c r="N448" s="2" t="s">
        <v>12</v>
      </c>
      <c r="O448" s="2" t="s">
        <v>13</v>
      </c>
      <c r="P448" s="2" t="s">
        <v>14</v>
      </c>
      <c r="Q448" s="2" t="s">
        <v>52</v>
      </c>
      <c r="R448" s="2" t="s">
        <v>16</v>
      </c>
      <c r="S448" s="2" t="s">
        <v>17</v>
      </c>
      <c r="T448" s="2" t="s">
        <v>18</v>
      </c>
      <c r="U448" s="2" t="s">
        <v>0</v>
      </c>
    </row>
    <row r="449" spans="1:21">
      <c r="A449" s="2" t="s">
        <v>2418</v>
      </c>
      <c r="B449" s="2" t="s">
        <v>27</v>
      </c>
      <c r="C449" s="2" t="s">
        <v>2419</v>
      </c>
      <c r="D449" s="2" t="s">
        <v>2420</v>
      </c>
      <c r="E449" s="2" t="s">
        <v>2421</v>
      </c>
      <c r="F449" s="2" t="s">
        <v>2422</v>
      </c>
      <c r="G449" s="2" t="s">
        <v>2423</v>
      </c>
      <c r="H449" s="2" t="s">
        <v>2417</v>
      </c>
      <c r="I449" s="2" t="s">
        <v>0</v>
      </c>
      <c r="J449" s="2" t="s">
        <v>0</v>
      </c>
      <c r="K449" s="2" t="s">
        <v>2396</v>
      </c>
      <c r="L449" s="2" t="s">
        <v>2360</v>
      </c>
      <c r="M449" s="2" t="s">
        <v>0</v>
      </c>
      <c r="N449" s="2" t="s">
        <v>12</v>
      </c>
      <c r="O449" s="2" t="s">
        <v>13</v>
      </c>
      <c r="P449" s="2" t="s">
        <v>14</v>
      </c>
      <c r="Q449" s="2" t="s">
        <v>52</v>
      </c>
      <c r="R449" s="2" t="s">
        <v>53</v>
      </c>
      <c r="S449" s="2" t="s">
        <v>17</v>
      </c>
      <c r="T449" s="2" t="s">
        <v>35</v>
      </c>
      <c r="U449" s="2" t="s">
        <v>2424</v>
      </c>
    </row>
    <row r="450" spans="1:21">
      <c r="A450" s="2" t="s">
        <v>2425</v>
      </c>
      <c r="B450" s="2" t="s">
        <v>27</v>
      </c>
      <c r="C450" s="2" t="s">
        <v>2426</v>
      </c>
      <c r="D450" s="2" t="s">
        <v>2427</v>
      </c>
      <c r="E450" s="2" t="s">
        <v>2428</v>
      </c>
      <c r="F450" s="2" t="s">
        <v>2175</v>
      </c>
      <c r="G450" s="2" t="s">
        <v>2176</v>
      </c>
      <c r="H450" s="2" t="s">
        <v>2417</v>
      </c>
      <c r="I450" s="2" t="s">
        <v>0</v>
      </c>
      <c r="J450" s="2" t="s">
        <v>0</v>
      </c>
      <c r="K450" s="2" t="s">
        <v>2396</v>
      </c>
      <c r="L450" s="2" t="s">
        <v>2360</v>
      </c>
      <c r="M450" s="2" t="s">
        <v>0</v>
      </c>
      <c r="N450" s="2" t="s">
        <v>12</v>
      </c>
      <c r="O450" s="2" t="s">
        <v>13</v>
      </c>
      <c r="P450" s="2" t="s">
        <v>14</v>
      </c>
      <c r="Q450" s="2" t="s">
        <v>52</v>
      </c>
      <c r="R450" s="2" t="s">
        <v>53</v>
      </c>
      <c r="S450" s="2" t="s">
        <v>17</v>
      </c>
      <c r="T450" s="2" t="s">
        <v>35</v>
      </c>
      <c r="U450" s="2" t="s">
        <v>2429</v>
      </c>
    </row>
    <row r="451" spans="1:21">
      <c r="A451" s="2" t="s">
        <v>2430</v>
      </c>
      <c r="B451" s="2" t="s">
        <v>3</v>
      </c>
      <c r="C451" s="2" t="s">
        <v>1584</v>
      </c>
      <c r="D451" s="2" t="s">
        <v>2431</v>
      </c>
      <c r="E451" s="2" t="s">
        <v>2432</v>
      </c>
      <c r="F451" s="2" t="s">
        <v>7</v>
      </c>
      <c r="G451" s="2" t="s">
        <v>8</v>
      </c>
      <c r="H451" s="2" t="s">
        <v>2417</v>
      </c>
      <c r="I451" s="2" t="s">
        <v>0</v>
      </c>
      <c r="J451" s="2" t="s">
        <v>0</v>
      </c>
      <c r="K451" s="2" t="s">
        <v>2396</v>
      </c>
      <c r="L451" s="2" t="s">
        <v>2360</v>
      </c>
      <c r="M451" s="2" t="s">
        <v>0</v>
      </c>
      <c r="N451" s="2" t="s">
        <v>12</v>
      </c>
      <c r="O451" s="2" t="s">
        <v>13</v>
      </c>
      <c r="P451" s="2" t="s">
        <v>14</v>
      </c>
      <c r="Q451" s="2" t="s">
        <v>52</v>
      </c>
      <c r="R451" s="2" t="s">
        <v>53</v>
      </c>
      <c r="S451" s="2" t="s">
        <v>17</v>
      </c>
      <c r="T451" s="2" t="s">
        <v>18</v>
      </c>
      <c r="U451" s="2" t="s">
        <v>0</v>
      </c>
    </row>
    <row r="452" spans="1:21">
      <c r="A452" s="2" t="s">
        <v>2433</v>
      </c>
      <c r="B452" s="2" t="s">
        <v>3</v>
      </c>
      <c r="C452" s="2" t="s">
        <v>2434</v>
      </c>
      <c r="D452" s="2" t="s">
        <v>2435</v>
      </c>
      <c r="E452" s="2" t="s">
        <v>2436</v>
      </c>
      <c r="F452" s="2" t="s">
        <v>7</v>
      </c>
      <c r="G452" s="2" t="s">
        <v>8</v>
      </c>
      <c r="H452" s="2" t="s">
        <v>2417</v>
      </c>
      <c r="I452" s="2" t="s">
        <v>0</v>
      </c>
      <c r="J452" s="2" t="s">
        <v>0</v>
      </c>
      <c r="K452" s="2" t="s">
        <v>2396</v>
      </c>
      <c r="L452" s="2" t="s">
        <v>2360</v>
      </c>
      <c r="M452" s="2" t="s">
        <v>0</v>
      </c>
      <c r="N452" s="2" t="s">
        <v>12</v>
      </c>
      <c r="O452" s="2" t="s">
        <v>13</v>
      </c>
      <c r="P452" s="2" t="s">
        <v>14</v>
      </c>
      <c r="Q452" s="2" t="s">
        <v>52</v>
      </c>
      <c r="R452" s="2" t="s">
        <v>53</v>
      </c>
      <c r="S452" s="2" t="s">
        <v>17</v>
      </c>
      <c r="T452" s="2" t="s">
        <v>18</v>
      </c>
      <c r="U452" s="2" t="s">
        <v>0</v>
      </c>
    </row>
    <row r="453" spans="1:21">
      <c r="A453" s="2" t="s">
        <v>2437</v>
      </c>
      <c r="B453" s="2" t="s">
        <v>27</v>
      </c>
      <c r="C453" s="2" t="s">
        <v>2438</v>
      </c>
      <c r="D453" s="2" t="s">
        <v>2439</v>
      </c>
      <c r="E453" s="2" t="s">
        <v>2440</v>
      </c>
      <c r="F453" s="2" t="s">
        <v>2441</v>
      </c>
      <c r="G453" s="2" t="s">
        <v>2442</v>
      </c>
      <c r="H453" s="2" t="s">
        <v>2443</v>
      </c>
      <c r="I453" s="2" t="s">
        <v>0</v>
      </c>
      <c r="J453" s="2" t="s">
        <v>0</v>
      </c>
      <c r="K453" s="2" t="s">
        <v>0</v>
      </c>
      <c r="L453" s="2" t="s">
        <v>0</v>
      </c>
      <c r="M453" s="2" t="s">
        <v>2360</v>
      </c>
      <c r="N453" s="2" t="s">
        <v>12</v>
      </c>
      <c r="O453" s="2" t="s">
        <v>82</v>
      </c>
      <c r="P453" s="2" t="s">
        <v>33</v>
      </c>
      <c r="Q453" s="2" t="s">
        <v>83</v>
      </c>
      <c r="R453" s="2" t="s">
        <v>34</v>
      </c>
      <c r="S453" s="2" t="s">
        <v>84</v>
      </c>
      <c r="T453" s="2" t="s">
        <v>35</v>
      </c>
      <c r="U453" s="2" t="s">
        <v>2444</v>
      </c>
    </row>
    <row r="454" spans="1:21">
      <c r="A454" s="2" t="s">
        <v>2445</v>
      </c>
      <c r="B454" s="2" t="s">
        <v>3</v>
      </c>
      <c r="C454" s="2" t="s">
        <v>2446</v>
      </c>
      <c r="D454" s="2" t="s">
        <v>2447</v>
      </c>
      <c r="E454" s="2" t="s">
        <v>2448</v>
      </c>
      <c r="F454" s="2" t="s">
        <v>7</v>
      </c>
      <c r="G454" s="2" t="s">
        <v>8</v>
      </c>
      <c r="H454" s="2" t="s">
        <v>2443</v>
      </c>
      <c r="I454" s="2" t="s">
        <v>0</v>
      </c>
      <c r="J454" s="2" t="s">
        <v>0</v>
      </c>
      <c r="K454" s="2" t="s">
        <v>0</v>
      </c>
      <c r="L454" s="2" t="s">
        <v>0</v>
      </c>
      <c r="M454" s="2" t="s">
        <v>2360</v>
      </c>
      <c r="N454" s="2" t="s">
        <v>12</v>
      </c>
      <c r="O454" s="2" t="s">
        <v>82</v>
      </c>
      <c r="P454" s="2" t="s">
        <v>33</v>
      </c>
      <c r="Q454" s="2" t="s">
        <v>83</v>
      </c>
      <c r="R454" s="2" t="s">
        <v>34</v>
      </c>
      <c r="S454" s="2" t="s">
        <v>84</v>
      </c>
      <c r="T454" s="2" t="s">
        <v>18</v>
      </c>
      <c r="U454" s="2" t="s">
        <v>0</v>
      </c>
    </row>
    <row r="455" spans="1:21">
      <c r="A455" s="2" t="s">
        <v>2449</v>
      </c>
      <c r="B455" s="2" t="s">
        <v>27</v>
      </c>
      <c r="C455" s="2" t="s">
        <v>2450</v>
      </c>
      <c r="D455" s="2" t="s">
        <v>2451</v>
      </c>
      <c r="E455" s="2" t="s">
        <v>2452</v>
      </c>
      <c r="F455" s="2" t="s">
        <v>210</v>
      </c>
      <c r="G455" s="2" t="s">
        <v>211</v>
      </c>
      <c r="H455" s="2" t="s">
        <v>2443</v>
      </c>
      <c r="I455" s="2" t="s">
        <v>0</v>
      </c>
      <c r="J455" s="2" t="s">
        <v>0</v>
      </c>
      <c r="K455" s="2" t="s">
        <v>0</v>
      </c>
      <c r="L455" s="2" t="s">
        <v>0</v>
      </c>
      <c r="M455" s="2" t="s">
        <v>2360</v>
      </c>
      <c r="N455" s="2" t="s">
        <v>12</v>
      </c>
      <c r="O455" s="2" t="s">
        <v>82</v>
      </c>
      <c r="P455" s="2" t="s">
        <v>33</v>
      </c>
      <c r="Q455" s="2" t="s">
        <v>83</v>
      </c>
      <c r="R455" s="2" t="s">
        <v>34</v>
      </c>
      <c r="S455" s="2" t="s">
        <v>84</v>
      </c>
      <c r="T455" s="2" t="s">
        <v>35</v>
      </c>
      <c r="U455" s="2" t="s">
        <v>2453</v>
      </c>
    </row>
    <row r="456" spans="1:21">
      <c r="A456" s="2" t="s">
        <v>2454</v>
      </c>
      <c r="B456" s="2" t="s">
        <v>27</v>
      </c>
      <c r="C456" s="2" t="s">
        <v>2455</v>
      </c>
      <c r="D456" s="2" t="s">
        <v>2456</v>
      </c>
      <c r="E456" s="2" t="s">
        <v>2457</v>
      </c>
      <c r="F456" s="2" t="s">
        <v>220</v>
      </c>
      <c r="G456" s="2" t="s">
        <v>221</v>
      </c>
      <c r="H456" s="2" t="s">
        <v>2443</v>
      </c>
      <c r="I456" s="2" t="s">
        <v>0</v>
      </c>
      <c r="J456" s="2" t="s">
        <v>0</v>
      </c>
      <c r="K456" s="2" t="s">
        <v>0</v>
      </c>
      <c r="L456" s="2" t="s">
        <v>0</v>
      </c>
      <c r="M456" s="2" t="s">
        <v>2360</v>
      </c>
      <c r="N456" s="2" t="s">
        <v>12</v>
      </c>
      <c r="O456" s="2" t="s">
        <v>82</v>
      </c>
      <c r="P456" s="2" t="s">
        <v>33</v>
      </c>
      <c r="Q456" s="2" t="s">
        <v>83</v>
      </c>
      <c r="R456" s="2" t="s">
        <v>34</v>
      </c>
      <c r="S456" s="2" t="s">
        <v>84</v>
      </c>
      <c r="T456" s="2" t="s">
        <v>35</v>
      </c>
      <c r="U456" s="2" t="s">
        <v>2458</v>
      </c>
    </row>
    <row r="457" spans="1:21">
      <c r="A457" s="2" t="s">
        <v>2459</v>
      </c>
      <c r="B457" s="2" t="s">
        <v>27</v>
      </c>
      <c r="C457" s="2" t="s">
        <v>2460</v>
      </c>
      <c r="D457" s="2" t="s">
        <v>2461</v>
      </c>
      <c r="E457" s="2" t="s">
        <v>2462</v>
      </c>
      <c r="F457" s="2" t="s">
        <v>2463</v>
      </c>
      <c r="G457" s="2" t="s">
        <v>2464</v>
      </c>
      <c r="H457" s="2" t="s">
        <v>2465</v>
      </c>
      <c r="I457" s="2" t="s">
        <v>2466</v>
      </c>
      <c r="J457" s="2" t="s">
        <v>0</v>
      </c>
      <c r="K457" s="2" t="s">
        <v>2467</v>
      </c>
      <c r="L457" s="2" t="s">
        <v>2360</v>
      </c>
      <c r="M457" s="2" t="s">
        <v>0</v>
      </c>
      <c r="N457" s="2" t="s">
        <v>12</v>
      </c>
      <c r="O457" s="2" t="s">
        <v>13</v>
      </c>
      <c r="P457" s="2" t="s">
        <v>14</v>
      </c>
      <c r="Q457" s="2" t="s">
        <v>52</v>
      </c>
      <c r="R457" s="2" t="s">
        <v>53</v>
      </c>
      <c r="S457" s="2" t="s">
        <v>17</v>
      </c>
      <c r="T457" s="2" t="s">
        <v>35</v>
      </c>
      <c r="U457" s="2" t="s">
        <v>2468</v>
      </c>
    </row>
    <row r="458" spans="1:21">
      <c r="A458" s="2" t="s">
        <v>2469</v>
      </c>
      <c r="B458" s="2" t="s">
        <v>27</v>
      </c>
      <c r="C458" s="2" t="s">
        <v>2470</v>
      </c>
      <c r="D458" s="2" t="s">
        <v>2471</v>
      </c>
      <c r="E458" s="2" t="s">
        <v>2472</v>
      </c>
      <c r="F458" s="2" t="s">
        <v>226</v>
      </c>
      <c r="G458" s="2" t="s">
        <v>227</v>
      </c>
      <c r="H458" s="2" t="s">
        <v>2465</v>
      </c>
      <c r="I458" s="2" t="s">
        <v>2466</v>
      </c>
      <c r="J458" s="2" t="s">
        <v>0</v>
      </c>
      <c r="K458" s="2" t="s">
        <v>2467</v>
      </c>
      <c r="L458" s="2" t="s">
        <v>2360</v>
      </c>
      <c r="M458" s="2" t="s">
        <v>0</v>
      </c>
      <c r="N458" s="2" t="s">
        <v>12</v>
      </c>
      <c r="O458" s="2" t="s">
        <v>13</v>
      </c>
      <c r="P458" s="2" t="s">
        <v>14</v>
      </c>
      <c r="Q458" s="2" t="s">
        <v>52</v>
      </c>
      <c r="R458" s="2" t="s">
        <v>53</v>
      </c>
      <c r="S458" s="2" t="s">
        <v>17</v>
      </c>
      <c r="T458" s="2" t="s">
        <v>35</v>
      </c>
      <c r="U458" s="2" t="s">
        <v>0</v>
      </c>
    </row>
    <row r="459" spans="1:21">
      <c r="A459" s="2" t="s">
        <v>2473</v>
      </c>
      <c r="B459" s="2" t="s">
        <v>27</v>
      </c>
      <c r="C459" s="2" t="s">
        <v>1700</v>
      </c>
      <c r="D459" s="2" t="s">
        <v>2474</v>
      </c>
      <c r="E459" s="2" t="s">
        <v>2475</v>
      </c>
      <c r="F459" s="2" t="s">
        <v>226</v>
      </c>
      <c r="G459" s="2" t="s">
        <v>227</v>
      </c>
      <c r="H459" s="2" t="s">
        <v>2465</v>
      </c>
      <c r="I459" s="2" t="s">
        <v>2466</v>
      </c>
      <c r="J459" s="2" t="s">
        <v>0</v>
      </c>
      <c r="K459" s="2" t="s">
        <v>2467</v>
      </c>
      <c r="L459" s="2" t="s">
        <v>2360</v>
      </c>
      <c r="M459" s="2" t="s">
        <v>0</v>
      </c>
      <c r="N459" s="2" t="s">
        <v>12</v>
      </c>
      <c r="O459" s="2" t="s">
        <v>13</v>
      </c>
      <c r="P459" s="2" t="s">
        <v>14</v>
      </c>
      <c r="Q459" s="2" t="s">
        <v>52</v>
      </c>
      <c r="R459" s="2" t="s">
        <v>53</v>
      </c>
      <c r="S459" s="2" t="s">
        <v>17</v>
      </c>
      <c r="T459" s="2" t="s">
        <v>35</v>
      </c>
      <c r="U459" s="2" t="s">
        <v>0</v>
      </c>
    </row>
    <row r="460" spans="1:21">
      <c r="A460" s="2" t="s">
        <v>2476</v>
      </c>
      <c r="B460" s="2" t="s">
        <v>27</v>
      </c>
      <c r="C460" s="2" t="s">
        <v>2477</v>
      </c>
      <c r="D460" s="2" t="s">
        <v>2478</v>
      </c>
      <c r="E460" s="2" t="s">
        <v>2479</v>
      </c>
      <c r="F460" s="2" t="s">
        <v>2480</v>
      </c>
      <c r="G460" s="2" t="s">
        <v>2481</v>
      </c>
      <c r="H460" s="2" t="s">
        <v>2482</v>
      </c>
      <c r="I460" s="2" t="s">
        <v>2483</v>
      </c>
      <c r="J460" s="2" t="s">
        <v>0</v>
      </c>
      <c r="K460" s="2" t="s">
        <v>2467</v>
      </c>
      <c r="L460" s="2" t="s">
        <v>2360</v>
      </c>
      <c r="M460" s="2" t="s">
        <v>0</v>
      </c>
      <c r="N460" s="2" t="s">
        <v>12</v>
      </c>
      <c r="O460" s="2" t="s">
        <v>13</v>
      </c>
      <c r="P460" s="2" t="s">
        <v>14</v>
      </c>
      <c r="Q460" s="2" t="s">
        <v>52</v>
      </c>
      <c r="R460" s="2" t="s">
        <v>53</v>
      </c>
      <c r="S460" s="2" t="s">
        <v>17</v>
      </c>
      <c r="T460" s="2" t="s">
        <v>35</v>
      </c>
      <c r="U460" s="2" t="s">
        <v>2484</v>
      </c>
    </row>
    <row r="461" spans="1:21">
      <c r="A461" s="2" t="s">
        <v>2485</v>
      </c>
      <c r="B461" s="2" t="s">
        <v>27</v>
      </c>
      <c r="C461" s="2" t="s">
        <v>2486</v>
      </c>
      <c r="D461" s="2" t="s">
        <v>2487</v>
      </c>
      <c r="E461" s="2" t="s">
        <v>2488</v>
      </c>
      <c r="F461" s="2" t="s">
        <v>226</v>
      </c>
      <c r="G461" s="2" t="s">
        <v>227</v>
      </c>
      <c r="H461" s="2" t="s">
        <v>2482</v>
      </c>
      <c r="I461" s="2" t="s">
        <v>2483</v>
      </c>
      <c r="J461" s="2" t="s">
        <v>0</v>
      </c>
      <c r="K461" s="2" t="s">
        <v>2467</v>
      </c>
      <c r="L461" s="2" t="s">
        <v>2360</v>
      </c>
      <c r="M461" s="2" t="s">
        <v>0</v>
      </c>
      <c r="N461" s="2" t="s">
        <v>12</v>
      </c>
      <c r="O461" s="2" t="s">
        <v>13</v>
      </c>
      <c r="P461" s="2" t="s">
        <v>14</v>
      </c>
      <c r="Q461" s="2" t="s">
        <v>52</v>
      </c>
      <c r="R461" s="2" t="s">
        <v>53</v>
      </c>
      <c r="S461" s="2" t="s">
        <v>17</v>
      </c>
      <c r="T461" s="2" t="s">
        <v>35</v>
      </c>
      <c r="U461" s="2" t="s">
        <v>0</v>
      </c>
    </row>
    <row r="462" spans="1:21">
      <c r="A462" s="2" t="s">
        <v>2489</v>
      </c>
      <c r="B462" s="2" t="s">
        <v>27</v>
      </c>
      <c r="C462" s="2" t="s">
        <v>2490</v>
      </c>
      <c r="D462" s="2" t="s">
        <v>2491</v>
      </c>
      <c r="E462" s="2" t="s">
        <v>2492</v>
      </c>
      <c r="F462" s="2" t="s">
        <v>226</v>
      </c>
      <c r="G462" s="2" t="s">
        <v>227</v>
      </c>
      <c r="H462" s="2" t="s">
        <v>2482</v>
      </c>
      <c r="I462" s="2" t="s">
        <v>2483</v>
      </c>
      <c r="J462" s="2" t="s">
        <v>0</v>
      </c>
      <c r="K462" s="2" t="s">
        <v>2467</v>
      </c>
      <c r="L462" s="2" t="s">
        <v>2360</v>
      </c>
      <c r="M462" s="2" t="s">
        <v>0</v>
      </c>
      <c r="N462" s="2" t="s">
        <v>12</v>
      </c>
      <c r="O462" s="2" t="s">
        <v>13</v>
      </c>
      <c r="P462" s="2" t="s">
        <v>14</v>
      </c>
      <c r="Q462" s="2" t="s">
        <v>52</v>
      </c>
      <c r="R462" s="2" t="s">
        <v>53</v>
      </c>
      <c r="S462" s="2" t="s">
        <v>17</v>
      </c>
      <c r="T462" s="2" t="s">
        <v>35</v>
      </c>
      <c r="U462" s="2" t="s">
        <v>0</v>
      </c>
    </row>
    <row r="463" spans="1:21">
      <c r="A463" s="2" t="s">
        <v>2493</v>
      </c>
      <c r="B463" s="2" t="s">
        <v>27</v>
      </c>
      <c r="C463" s="2" t="s">
        <v>2494</v>
      </c>
      <c r="D463" s="2" t="s">
        <v>2495</v>
      </c>
      <c r="E463" s="2" t="s">
        <v>2496</v>
      </c>
      <c r="F463" s="2" t="s">
        <v>226</v>
      </c>
      <c r="G463" s="2" t="s">
        <v>227</v>
      </c>
      <c r="H463" s="2" t="s">
        <v>2482</v>
      </c>
      <c r="I463" s="2" t="s">
        <v>2483</v>
      </c>
      <c r="J463" s="2" t="s">
        <v>0</v>
      </c>
      <c r="K463" s="2" t="s">
        <v>2467</v>
      </c>
      <c r="L463" s="2" t="s">
        <v>2360</v>
      </c>
      <c r="M463" s="2" t="s">
        <v>0</v>
      </c>
      <c r="N463" s="2" t="s">
        <v>12</v>
      </c>
      <c r="O463" s="2" t="s">
        <v>13</v>
      </c>
      <c r="P463" s="2" t="s">
        <v>14</v>
      </c>
      <c r="Q463" s="2" t="s">
        <v>52</v>
      </c>
      <c r="R463" s="2" t="s">
        <v>53</v>
      </c>
      <c r="S463" s="2" t="s">
        <v>17</v>
      </c>
      <c r="T463" s="2" t="s">
        <v>35</v>
      </c>
      <c r="U463" s="2" t="s">
        <v>0</v>
      </c>
    </row>
    <row r="464" spans="1:21">
      <c r="A464" s="2" t="s">
        <v>2497</v>
      </c>
      <c r="B464" s="2" t="s">
        <v>27</v>
      </c>
      <c r="C464" s="2" t="s">
        <v>2498</v>
      </c>
      <c r="D464" s="2" t="s">
        <v>2499</v>
      </c>
      <c r="E464" s="2" t="s">
        <v>2500</v>
      </c>
      <c r="F464" s="2" t="s">
        <v>226</v>
      </c>
      <c r="G464" s="2" t="s">
        <v>227</v>
      </c>
      <c r="H464" s="2" t="s">
        <v>2482</v>
      </c>
      <c r="I464" s="2" t="s">
        <v>2483</v>
      </c>
      <c r="J464" s="2" t="s">
        <v>0</v>
      </c>
      <c r="K464" s="2" t="s">
        <v>2467</v>
      </c>
      <c r="L464" s="2" t="s">
        <v>2360</v>
      </c>
      <c r="M464" s="2" t="s">
        <v>0</v>
      </c>
      <c r="N464" s="2" t="s">
        <v>12</v>
      </c>
      <c r="O464" s="2" t="s">
        <v>13</v>
      </c>
      <c r="P464" s="2" t="s">
        <v>14</v>
      </c>
      <c r="Q464" s="2" t="s">
        <v>52</v>
      </c>
      <c r="R464" s="2" t="s">
        <v>53</v>
      </c>
      <c r="S464" s="2" t="s">
        <v>17</v>
      </c>
      <c r="T464" s="2" t="s">
        <v>35</v>
      </c>
      <c r="U464" s="2" t="s">
        <v>0</v>
      </c>
    </row>
    <row r="465" spans="1:21">
      <c r="A465" s="2" t="s">
        <v>2501</v>
      </c>
      <c r="B465" s="2" t="s">
        <v>27</v>
      </c>
      <c r="C465" s="2" t="s">
        <v>2502</v>
      </c>
      <c r="D465" s="2" t="s">
        <v>2503</v>
      </c>
      <c r="E465" s="2" t="s">
        <v>2504</v>
      </c>
      <c r="F465" s="2" t="s">
        <v>226</v>
      </c>
      <c r="G465" s="2" t="s">
        <v>227</v>
      </c>
      <c r="H465" s="2" t="s">
        <v>2482</v>
      </c>
      <c r="I465" s="2" t="s">
        <v>2483</v>
      </c>
      <c r="J465" s="2" t="s">
        <v>0</v>
      </c>
      <c r="K465" s="2" t="s">
        <v>2467</v>
      </c>
      <c r="L465" s="2" t="s">
        <v>2360</v>
      </c>
      <c r="M465" s="2" t="s">
        <v>0</v>
      </c>
      <c r="N465" s="2" t="s">
        <v>12</v>
      </c>
      <c r="O465" s="2" t="s">
        <v>13</v>
      </c>
      <c r="P465" s="2" t="s">
        <v>14</v>
      </c>
      <c r="Q465" s="2" t="s">
        <v>52</v>
      </c>
      <c r="R465" s="2" t="s">
        <v>53</v>
      </c>
      <c r="S465" s="2" t="s">
        <v>17</v>
      </c>
      <c r="T465" s="2" t="s">
        <v>35</v>
      </c>
      <c r="U465" s="2" t="s">
        <v>0</v>
      </c>
    </row>
    <row r="466" spans="1:21">
      <c r="A466" s="2" t="s">
        <v>2505</v>
      </c>
      <c r="B466" s="2" t="s">
        <v>27</v>
      </c>
      <c r="C466" s="2" t="s">
        <v>2506</v>
      </c>
      <c r="D466" s="2" t="s">
        <v>2507</v>
      </c>
      <c r="E466" s="2" t="s">
        <v>2508</v>
      </c>
      <c r="F466" s="2" t="s">
        <v>226</v>
      </c>
      <c r="G466" s="2" t="s">
        <v>227</v>
      </c>
      <c r="H466" s="2" t="s">
        <v>2482</v>
      </c>
      <c r="I466" s="2" t="s">
        <v>2483</v>
      </c>
      <c r="J466" s="2" t="s">
        <v>0</v>
      </c>
      <c r="K466" s="2" t="s">
        <v>2467</v>
      </c>
      <c r="L466" s="2" t="s">
        <v>2360</v>
      </c>
      <c r="M466" s="2" t="s">
        <v>0</v>
      </c>
      <c r="N466" s="2" t="s">
        <v>12</v>
      </c>
      <c r="O466" s="2" t="s">
        <v>13</v>
      </c>
      <c r="P466" s="2" t="s">
        <v>14</v>
      </c>
      <c r="Q466" s="2" t="s">
        <v>52</v>
      </c>
      <c r="R466" s="2" t="s">
        <v>53</v>
      </c>
      <c r="S466" s="2" t="s">
        <v>17</v>
      </c>
      <c r="T466" s="2" t="s">
        <v>35</v>
      </c>
      <c r="U466" s="2" t="s">
        <v>0</v>
      </c>
    </row>
    <row r="467" spans="1:21">
      <c r="A467" s="2" t="s">
        <v>2509</v>
      </c>
      <c r="B467" s="2" t="s">
        <v>27</v>
      </c>
      <c r="C467" s="2" t="s">
        <v>2510</v>
      </c>
      <c r="D467" s="2" t="s">
        <v>2511</v>
      </c>
      <c r="E467" s="2" t="s">
        <v>2512</v>
      </c>
      <c r="F467" s="2" t="s">
        <v>226</v>
      </c>
      <c r="G467" s="2" t="s">
        <v>227</v>
      </c>
      <c r="H467" s="2" t="s">
        <v>2482</v>
      </c>
      <c r="I467" s="2" t="s">
        <v>2483</v>
      </c>
      <c r="J467" s="2" t="s">
        <v>0</v>
      </c>
      <c r="K467" s="2" t="s">
        <v>2467</v>
      </c>
      <c r="L467" s="2" t="s">
        <v>2360</v>
      </c>
      <c r="M467" s="2" t="s">
        <v>0</v>
      </c>
      <c r="N467" s="2" t="s">
        <v>12</v>
      </c>
      <c r="O467" s="2" t="s">
        <v>13</v>
      </c>
      <c r="P467" s="2" t="s">
        <v>14</v>
      </c>
      <c r="Q467" s="2" t="s">
        <v>52</v>
      </c>
      <c r="R467" s="2" t="s">
        <v>53</v>
      </c>
      <c r="S467" s="2" t="s">
        <v>17</v>
      </c>
      <c r="T467" s="2" t="s">
        <v>35</v>
      </c>
      <c r="U467" s="2" t="s">
        <v>0</v>
      </c>
    </row>
    <row r="468" spans="1:21">
      <c r="A468" s="2" t="s">
        <v>2513</v>
      </c>
      <c r="B468" s="2" t="s">
        <v>27</v>
      </c>
      <c r="C468" s="2" t="s">
        <v>2514</v>
      </c>
      <c r="D468" s="2" t="s">
        <v>2515</v>
      </c>
      <c r="E468" s="2" t="s">
        <v>2516</v>
      </c>
      <c r="F468" s="2" t="s">
        <v>226</v>
      </c>
      <c r="G468" s="2" t="s">
        <v>227</v>
      </c>
      <c r="H468" s="2" t="s">
        <v>2482</v>
      </c>
      <c r="I468" s="2" t="s">
        <v>2483</v>
      </c>
      <c r="J468" s="2" t="s">
        <v>0</v>
      </c>
      <c r="K468" s="2" t="s">
        <v>2467</v>
      </c>
      <c r="L468" s="2" t="s">
        <v>2360</v>
      </c>
      <c r="M468" s="2" t="s">
        <v>0</v>
      </c>
      <c r="N468" s="2" t="s">
        <v>12</v>
      </c>
      <c r="O468" s="2" t="s">
        <v>13</v>
      </c>
      <c r="P468" s="2" t="s">
        <v>14</v>
      </c>
      <c r="Q468" s="2" t="s">
        <v>52</v>
      </c>
      <c r="R468" s="2" t="s">
        <v>53</v>
      </c>
      <c r="S468" s="2" t="s">
        <v>17</v>
      </c>
      <c r="T468" s="2" t="s">
        <v>35</v>
      </c>
      <c r="U468" s="2" t="s">
        <v>0</v>
      </c>
    </row>
    <row r="469" spans="1:21">
      <c r="A469" s="2" t="s">
        <v>2517</v>
      </c>
      <c r="B469" s="2" t="s">
        <v>27</v>
      </c>
      <c r="C469" s="2" t="s">
        <v>2518</v>
      </c>
      <c r="D469" s="2" t="s">
        <v>2519</v>
      </c>
      <c r="E469" s="2" t="s">
        <v>2520</v>
      </c>
      <c r="F469" s="2" t="s">
        <v>226</v>
      </c>
      <c r="G469" s="2" t="s">
        <v>227</v>
      </c>
      <c r="H469" s="2" t="s">
        <v>2482</v>
      </c>
      <c r="I469" s="2" t="s">
        <v>2483</v>
      </c>
      <c r="J469" s="2" t="s">
        <v>0</v>
      </c>
      <c r="K469" s="2" t="s">
        <v>2467</v>
      </c>
      <c r="L469" s="2" t="s">
        <v>2360</v>
      </c>
      <c r="M469" s="2" t="s">
        <v>0</v>
      </c>
      <c r="N469" s="2" t="s">
        <v>12</v>
      </c>
      <c r="O469" s="2" t="s">
        <v>13</v>
      </c>
      <c r="P469" s="2" t="s">
        <v>14</v>
      </c>
      <c r="Q469" s="2" t="s">
        <v>52</v>
      </c>
      <c r="R469" s="2" t="s">
        <v>53</v>
      </c>
      <c r="S469" s="2" t="s">
        <v>17</v>
      </c>
      <c r="T469" s="2" t="s">
        <v>35</v>
      </c>
      <c r="U469" s="2" t="s">
        <v>0</v>
      </c>
    </row>
    <row r="470" spans="1:21">
      <c r="A470" s="2" t="s">
        <v>2521</v>
      </c>
      <c r="B470" s="2" t="s">
        <v>27</v>
      </c>
      <c r="C470" s="2" t="s">
        <v>2083</v>
      </c>
      <c r="D470" s="2" t="s">
        <v>2522</v>
      </c>
      <c r="E470" s="2" t="s">
        <v>2523</v>
      </c>
      <c r="F470" s="2" t="s">
        <v>226</v>
      </c>
      <c r="G470" s="2" t="s">
        <v>227</v>
      </c>
      <c r="H470" s="2" t="s">
        <v>2482</v>
      </c>
      <c r="I470" s="2" t="s">
        <v>2483</v>
      </c>
      <c r="J470" s="2" t="s">
        <v>0</v>
      </c>
      <c r="K470" s="2" t="s">
        <v>2467</v>
      </c>
      <c r="L470" s="2" t="s">
        <v>2360</v>
      </c>
      <c r="M470" s="2" t="s">
        <v>0</v>
      </c>
      <c r="N470" s="2" t="s">
        <v>12</v>
      </c>
      <c r="O470" s="2" t="s">
        <v>13</v>
      </c>
      <c r="P470" s="2" t="s">
        <v>14</v>
      </c>
      <c r="Q470" s="2" t="s">
        <v>52</v>
      </c>
      <c r="R470" s="2" t="s">
        <v>53</v>
      </c>
      <c r="S470" s="2" t="s">
        <v>17</v>
      </c>
      <c r="T470" s="2" t="s">
        <v>35</v>
      </c>
      <c r="U470" s="2" t="s">
        <v>0</v>
      </c>
    </row>
    <row r="471" spans="1:21">
      <c r="A471" s="2" t="s">
        <v>2524</v>
      </c>
      <c r="B471" s="2" t="s">
        <v>27</v>
      </c>
      <c r="C471" s="2" t="s">
        <v>2525</v>
      </c>
      <c r="D471" s="2" t="s">
        <v>2526</v>
      </c>
      <c r="E471" s="2" t="s">
        <v>2527</v>
      </c>
      <c r="F471" s="2" t="s">
        <v>226</v>
      </c>
      <c r="G471" s="2" t="s">
        <v>227</v>
      </c>
      <c r="H471" s="2" t="s">
        <v>2482</v>
      </c>
      <c r="I471" s="2" t="s">
        <v>2483</v>
      </c>
      <c r="J471" s="2" t="s">
        <v>0</v>
      </c>
      <c r="K471" s="2" t="s">
        <v>2467</v>
      </c>
      <c r="L471" s="2" t="s">
        <v>2360</v>
      </c>
      <c r="M471" s="2" t="s">
        <v>0</v>
      </c>
      <c r="N471" s="2" t="s">
        <v>12</v>
      </c>
      <c r="O471" s="2" t="s">
        <v>13</v>
      </c>
      <c r="P471" s="2" t="s">
        <v>14</v>
      </c>
      <c r="Q471" s="2" t="s">
        <v>52</v>
      </c>
      <c r="R471" s="2" t="s">
        <v>53</v>
      </c>
      <c r="S471" s="2" t="s">
        <v>17</v>
      </c>
      <c r="T471" s="2" t="s">
        <v>35</v>
      </c>
      <c r="U471" s="2" t="s">
        <v>0</v>
      </c>
    </row>
    <row r="472" spans="1:21">
      <c r="A472" s="2" t="s">
        <v>2528</v>
      </c>
      <c r="B472" s="2" t="s">
        <v>27</v>
      </c>
      <c r="C472" s="2" t="s">
        <v>2529</v>
      </c>
      <c r="D472" s="2" t="s">
        <v>2530</v>
      </c>
      <c r="E472" s="2" t="s">
        <v>2531</v>
      </c>
      <c r="F472" s="2" t="s">
        <v>226</v>
      </c>
      <c r="G472" s="2" t="s">
        <v>227</v>
      </c>
      <c r="H472" s="2" t="s">
        <v>2482</v>
      </c>
      <c r="I472" s="2" t="s">
        <v>2483</v>
      </c>
      <c r="J472" s="2" t="s">
        <v>0</v>
      </c>
      <c r="K472" s="2" t="s">
        <v>2467</v>
      </c>
      <c r="L472" s="2" t="s">
        <v>2360</v>
      </c>
      <c r="M472" s="2" t="s">
        <v>0</v>
      </c>
      <c r="N472" s="2" t="s">
        <v>12</v>
      </c>
      <c r="O472" s="2" t="s">
        <v>13</v>
      </c>
      <c r="P472" s="2" t="s">
        <v>14</v>
      </c>
      <c r="Q472" s="2" t="s">
        <v>52</v>
      </c>
      <c r="R472" s="2" t="s">
        <v>53</v>
      </c>
      <c r="S472" s="2" t="s">
        <v>17</v>
      </c>
      <c r="T472" s="2" t="s">
        <v>35</v>
      </c>
      <c r="U472" s="2" t="s">
        <v>0</v>
      </c>
    </row>
    <row r="473" spans="1:21">
      <c r="A473" s="2" t="s">
        <v>2532</v>
      </c>
      <c r="B473" s="2" t="s">
        <v>27</v>
      </c>
      <c r="C473" s="2" t="s">
        <v>2533</v>
      </c>
      <c r="D473" s="2" t="s">
        <v>2534</v>
      </c>
      <c r="E473" s="2" t="s">
        <v>2535</v>
      </c>
      <c r="F473" s="2" t="s">
        <v>226</v>
      </c>
      <c r="G473" s="2" t="s">
        <v>227</v>
      </c>
      <c r="H473" s="2" t="s">
        <v>2482</v>
      </c>
      <c r="I473" s="2" t="s">
        <v>2483</v>
      </c>
      <c r="J473" s="2" t="s">
        <v>0</v>
      </c>
      <c r="K473" s="2" t="s">
        <v>2467</v>
      </c>
      <c r="L473" s="2" t="s">
        <v>2360</v>
      </c>
      <c r="M473" s="2" t="s">
        <v>0</v>
      </c>
      <c r="N473" s="2" t="s">
        <v>12</v>
      </c>
      <c r="O473" s="2" t="s">
        <v>13</v>
      </c>
      <c r="P473" s="2" t="s">
        <v>14</v>
      </c>
      <c r="Q473" s="2" t="s">
        <v>52</v>
      </c>
      <c r="R473" s="2" t="s">
        <v>53</v>
      </c>
      <c r="S473" s="2" t="s">
        <v>17</v>
      </c>
      <c r="T473" s="2" t="s">
        <v>35</v>
      </c>
      <c r="U473" s="2" t="s">
        <v>0</v>
      </c>
    </row>
    <row r="474" spans="1:21">
      <c r="A474" s="2" t="s">
        <v>2536</v>
      </c>
      <c r="B474" s="2" t="s">
        <v>27</v>
      </c>
      <c r="C474" s="2" t="s">
        <v>2537</v>
      </c>
      <c r="D474" s="2" t="s">
        <v>2538</v>
      </c>
      <c r="E474" s="2" t="s">
        <v>2539</v>
      </c>
      <c r="F474" s="2" t="s">
        <v>2540</v>
      </c>
      <c r="G474" s="2" t="s">
        <v>2541</v>
      </c>
      <c r="H474" s="2" t="s">
        <v>2542</v>
      </c>
      <c r="I474" s="2" t="s">
        <v>2543</v>
      </c>
      <c r="J474" s="2" t="s">
        <v>0</v>
      </c>
      <c r="K474" s="2" t="s">
        <v>2396</v>
      </c>
      <c r="L474" s="2" t="s">
        <v>2360</v>
      </c>
      <c r="M474" s="2" t="s">
        <v>0</v>
      </c>
      <c r="N474" s="2" t="s">
        <v>12</v>
      </c>
      <c r="O474" s="2" t="s">
        <v>13</v>
      </c>
      <c r="P474" s="2" t="s">
        <v>14</v>
      </c>
      <c r="Q474" s="2" t="s">
        <v>52</v>
      </c>
      <c r="R474" s="2" t="s">
        <v>53</v>
      </c>
      <c r="S474" s="2" t="s">
        <v>17</v>
      </c>
      <c r="T474" s="2" t="s">
        <v>35</v>
      </c>
      <c r="U474" s="2" t="s">
        <v>2544</v>
      </c>
    </row>
    <row r="475" spans="1:21">
      <c r="A475" s="2" t="s">
        <v>2545</v>
      </c>
      <c r="B475" s="2" t="s">
        <v>27</v>
      </c>
      <c r="C475" s="2" t="s">
        <v>2546</v>
      </c>
      <c r="D475" s="2" t="s">
        <v>2547</v>
      </c>
      <c r="E475" s="2" t="s">
        <v>2548</v>
      </c>
      <c r="F475" s="2" t="s">
        <v>2549</v>
      </c>
      <c r="G475" s="2" t="s">
        <v>2550</v>
      </c>
      <c r="H475" s="2" t="s">
        <v>2551</v>
      </c>
      <c r="I475" s="2" t="s">
        <v>0</v>
      </c>
      <c r="J475" s="2" t="s">
        <v>0</v>
      </c>
      <c r="K475" s="2" t="s">
        <v>2552</v>
      </c>
      <c r="L475" s="2" t="s">
        <v>0</v>
      </c>
      <c r="M475" s="2" t="s">
        <v>0</v>
      </c>
      <c r="N475" s="2" t="s">
        <v>510</v>
      </c>
      <c r="O475" s="2" t="s">
        <v>82</v>
      </c>
      <c r="P475" s="2" t="s">
        <v>33</v>
      </c>
      <c r="Q475" s="2" t="s">
        <v>2553</v>
      </c>
      <c r="R475" s="2" t="s">
        <v>34</v>
      </c>
      <c r="S475" s="2" t="s">
        <v>84</v>
      </c>
      <c r="T475" s="2" t="s">
        <v>35</v>
      </c>
      <c r="U475" s="2" t="s">
        <v>2554</v>
      </c>
    </row>
    <row r="476" spans="1:21">
      <c r="A476" s="2" t="s">
        <v>2555</v>
      </c>
      <c r="B476" s="2" t="s">
        <v>27</v>
      </c>
      <c r="C476" s="2" t="s">
        <v>1269</v>
      </c>
      <c r="D476" s="2" t="s">
        <v>2556</v>
      </c>
      <c r="E476" s="2" t="s">
        <v>2557</v>
      </c>
      <c r="F476" s="2" t="s">
        <v>2558</v>
      </c>
      <c r="G476" s="2" t="s">
        <v>2559</v>
      </c>
      <c r="H476" s="2" t="s">
        <v>2560</v>
      </c>
      <c r="I476" s="2" t="s">
        <v>2561</v>
      </c>
      <c r="J476" s="2" t="s">
        <v>0</v>
      </c>
      <c r="K476" s="2" t="s">
        <v>2396</v>
      </c>
      <c r="L476" s="2" t="s">
        <v>2360</v>
      </c>
      <c r="M476" s="2" t="s">
        <v>0</v>
      </c>
      <c r="N476" s="2" t="s">
        <v>12</v>
      </c>
      <c r="O476" s="2" t="s">
        <v>13</v>
      </c>
      <c r="P476" s="2" t="s">
        <v>14</v>
      </c>
      <c r="Q476" s="2" t="s">
        <v>52</v>
      </c>
      <c r="R476" s="2" t="s">
        <v>53</v>
      </c>
      <c r="S476" s="2" t="s">
        <v>17</v>
      </c>
      <c r="T476" s="2" t="s">
        <v>35</v>
      </c>
      <c r="U476" s="2" t="s">
        <v>2562</v>
      </c>
    </row>
    <row r="477" spans="1:21">
      <c r="A477" s="2" t="s">
        <v>2563</v>
      </c>
      <c r="B477" s="2" t="s">
        <v>27</v>
      </c>
      <c r="C477" s="2" t="s">
        <v>2564</v>
      </c>
      <c r="D477" s="2" t="s">
        <v>2565</v>
      </c>
      <c r="E477" s="2" t="s">
        <v>2566</v>
      </c>
      <c r="F477" s="2" t="s">
        <v>210</v>
      </c>
      <c r="G477" s="2" t="s">
        <v>211</v>
      </c>
      <c r="H477" s="2" t="s">
        <v>2560</v>
      </c>
      <c r="I477" s="2" t="s">
        <v>2561</v>
      </c>
      <c r="J477" s="2" t="s">
        <v>0</v>
      </c>
      <c r="K477" s="2" t="s">
        <v>2396</v>
      </c>
      <c r="L477" s="2" t="s">
        <v>2360</v>
      </c>
      <c r="M477" s="2" t="s">
        <v>0</v>
      </c>
      <c r="N477" s="2" t="s">
        <v>12</v>
      </c>
      <c r="O477" s="2" t="s">
        <v>13</v>
      </c>
      <c r="P477" s="2" t="s">
        <v>14</v>
      </c>
      <c r="Q477" s="2" t="s">
        <v>52</v>
      </c>
      <c r="R477" s="2" t="s">
        <v>53</v>
      </c>
      <c r="S477" s="2" t="s">
        <v>17</v>
      </c>
      <c r="T477" s="2" t="s">
        <v>35</v>
      </c>
      <c r="U477" s="2" t="s">
        <v>0</v>
      </c>
    </row>
    <row r="478" spans="1:21">
      <c r="A478" s="2" t="s">
        <v>2567</v>
      </c>
      <c r="B478" s="2" t="s">
        <v>27</v>
      </c>
      <c r="C478" s="2" t="s">
        <v>718</v>
      </c>
      <c r="D478" s="2" t="s">
        <v>2568</v>
      </c>
      <c r="E478" s="2" t="s">
        <v>2569</v>
      </c>
      <c r="F478" s="2" t="s">
        <v>226</v>
      </c>
      <c r="G478" s="2" t="s">
        <v>227</v>
      </c>
      <c r="H478" s="2" t="s">
        <v>2560</v>
      </c>
      <c r="I478" s="2" t="s">
        <v>2561</v>
      </c>
      <c r="J478" s="2" t="s">
        <v>0</v>
      </c>
      <c r="K478" s="2" t="s">
        <v>2396</v>
      </c>
      <c r="L478" s="2" t="s">
        <v>2360</v>
      </c>
      <c r="M478" s="2" t="s">
        <v>0</v>
      </c>
      <c r="N478" s="2" t="s">
        <v>12</v>
      </c>
      <c r="O478" s="2" t="s">
        <v>13</v>
      </c>
      <c r="P478" s="2" t="s">
        <v>14</v>
      </c>
      <c r="Q478" s="2" t="s">
        <v>52</v>
      </c>
      <c r="R478" s="2" t="s">
        <v>53</v>
      </c>
      <c r="S478" s="2" t="s">
        <v>17</v>
      </c>
      <c r="T478" s="2" t="s">
        <v>35</v>
      </c>
      <c r="U478" s="2" t="s">
        <v>0</v>
      </c>
    </row>
    <row r="479" spans="1:21">
      <c r="A479" s="2" t="s">
        <v>2570</v>
      </c>
      <c r="B479" s="2" t="s">
        <v>27</v>
      </c>
      <c r="C479" s="2" t="s">
        <v>2571</v>
      </c>
      <c r="D479" s="2" t="s">
        <v>2572</v>
      </c>
      <c r="E479" s="2" t="s">
        <v>2573</v>
      </c>
      <c r="F479" s="2" t="s">
        <v>226</v>
      </c>
      <c r="G479" s="2" t="s">
        <v>227</v>
      </c>
      <c r="H479" s="2" t="s">
        <v>2560</v>
      </c>
      <c r="I479" s="2" t="s">
        <v>2561</v>
      </c>
      <c r="J479" s="2" t="s">
        <v>0</v>
      </c>
      <c r="K479" s="2" t="s">
        <v>2396</v>
      </c>
      <c r="L479" s="2" t="s">
        <v>2360</v>
      </c>
      <c r="M479" s="2" t="s">
        <v>0</v>
      </c>
      <c r="N479" s="2" t="s">
        <v>12</v>
      </c>
      <c r="O479" s="2" t="s">
        <v>13</v>
      </c>
      <c r="P479" s="2" t="s">
        <v>14</v>
      </c>
      <c r="Q479" s="2" t="s">
        <v>52</v>
      </c>
      <c r="R479" s="2" t="s">
        <v>53</v>
      </c>
      <c r="S479" s="2" t="s">
        <v>17</v>
      </c>
      <c r="T479" s="2" t="s">
        <v>35</v>
      </c>
      <c r="U479" s="2" t="s">
        <v>0</v>
      </c>
    </row>
    <row r="480" spans="1:21">
      <c r="A480" s="2" t="s">
        <v>2574</v>
      </c>
      <c r="B480" s="2" t="s">
        <v>27</v>
      </c>
      <c r="C480" s="2" t="s">
        <v>641</v>
      </c>
      <c r="D480" s="2" t="s">
        <v>2575</v>
      </c>
      <c r="E480" s="2" t="s">
        <v>2576</v>
      </c>
      <c r="F480" s="2" t="s">
        <v>2577</v>
      </c>
      <c r="G480" s="2" t="s">
        <v>2578</v>
      </c>
      <c r="H480" s="2" t="s">
        <v>2579</v>
      </c>
      <c r="I480" s="2" t="s">
        <v>0</v>
      </c>
      <c r="J480" s="2" t="s">
        <v>0</v>
      </c>
      <c r="K480" s="2" t="s">
        <v>2359</v>
      </c>
      <c r="L480" s="2" t="s">
        <v>2360</v>
      </c>
      <c r="M480" s="2" t="s">
        <v>0</v>
      </c>
      <c r="N480" s="2" t="s">
        <v>12</v>
      </c>
      <c r="O480" s="2" t="s">
        <v>13</v>
      </c>
      <c r="P480" s="2" t="s">
        <v>14</v>
      </c>
      <c r="Q480" s="2" t="s">
        <v>15</v>
      </c>
      <c r="R480" s="2" t="s">
        <v>16</v>
      </c>
      <c r="S480" s="2" t="s">
        <v>17</v>
      </c>
      <c r="T480" s="2" t="s">
        <v>35</v>
      </c>
      <c r="U480" s="2" t="s">
        <v>0</v>
      </c>
    </row>
    <row r="481" spans="1:21">
      <c r="A481" s="2" t="s">
        <v>2580</v>
      </c>
      <c r="B481" s="2" t="s">
        <v>27</v>
      </c>
      <c r="C481" s="2" t="s">
        <v>2581</v>
      </c>
      <c r="D481" s="2" t="s">
        <v>2582</v>
      </c>
      <c r="E481" s="2" t="s">
        <v>2583</v>
      </c>
      <c r="F481" s="2" t="s">
        <v>2584</v>
      </c>
      <c r="G481" s="2" t="s">
        <v>2585</v>
      </c>
      <c r="H481" s="2" t="s">
        <v>2586</v>
      </c>
      <c r="I481" s="2" t="s">
        <v>0</v>
      </c>
      <c r="J481" s="2" t="s">
        <v>2587</v>
      </c>
      <c r="K481" s="2" t="s">
        <v>0</v>
      </c>
      <c r="L481" s="2" t="s">
        <v>0</v>
      </c>
      <c r="M481" s="2" t="s">
        <v>0</v>
      </c>
      <c r="N481" s="2" t="s">
        <v>510</v>
      </c>
      <c r="O481" s="2" t="s">
        <v>82</v>
      </c>
      <c r="P481" s="2" t="s">
        <v>33</v>
      </c>
      <c r="Q481" s="2" t="s">
        <v>2588</v>
      </c>
      <c r="R481" s="2" t="s">
        <v>34</v>
      </c>
      <c r="S481" s="2" t="s">
        <v>84</v>
      </c>
      <c r="T481" s="2" t="s">
        <v>35</v>
      </c>
      <c r="U481" s="2" t="s">
        <v>2589</v>
      </c>
    </row>
    <row r="482" spans="1:21">
      <c r="A482" s="2" t="s">
        <v>2590</v>
      </c>
      <c r="B482" s="2" t="s">
        <v>27</v>
      </c>
      <c r="C482" s="2" t="s">
        <v>2591</v>
      </c>
      <c r="D482" s="2" t="s">
        <v>2592</v>
      </c>
      <c r="E482" s="2" t="s">
        <v>2593</v>
      </c>
      <c r="F482" s="2" t="s">
        <v>226</v>
      </c>
      <c r="G482" s="2" t="s">
        <v>227</v>
      </c>
      <c r="H482" s="2" t="s">
        <v>2594</v>
      </c>
      <c r="I482" s="2" t="s">
        <v>2595</v>
      </c>
      <c r="J482" s="2" t="s">
        <v>0</v>
      </c>
      <c r="K482" s="2" t="s">
        <v>2467</v>
      </c>
      <c r="L482" s="2" t="s">
        <v>2360</v>
      </c>
      <c r="M482" s="2" t="s">
        <v>0</v>
      </c>
      <c r="N482" s="2" t="s">
        <v>12</v>
      </c>
      <c r="O482" s="2" t="s">
        <v>13</v>
      </c>
      <c r="P482" s="2" t="s">
        <v>14</v>
      </c>
      <c r="Q482" s="2" t="s">
        <v>52</v>
      </c>
      <c r="R482" s="2" t="s">
        <v>53</v>
      </c>
      <c r="S482" s="2" t="s">
        <v>17</v>
      </c>
      <c r="T482" s="2" t="s">
        <v>35</v>
      </c>
      <c r="U482" s="2" t="s">
        <v>0</v>
      </c>
    </row>
    <row r="483" spans="1:21">
      <c r="A483" s="2" t="s">
        <v>2596</v>
      </c>
      <c r="B483" s="2" t="s">
        <v>27</v>
      </c>
      <c r="C483" s="2" t="s">
        <v>2597</v>
      </c>
      <c r="D483" s="2" t="s">
        <v>2598</v>
      </c>
      <c r="E483" s="2" t="s">
        <v>2599</v>
      </c>
      <c r="F483" s="2" t="s">
        <v>226</v>
      </c>
      <c r="G483" s="2" t="s">
        <v>227</v>
      </c>
      <c r="H483" s="2" t="s">
        <v>2594</v>
      </c>
      <c r="I483" s="2" t="s">
        <v>2595</v>
      </c>
      <c r="J483" s="2" t="s">
        <v>0</v>
      </c>
      <c r="K483" s="2" t="s">
        <v>2467</v>
      </c>
      <c r="L483" s="2" t="s">
        <v>2360</v>
      </c>
      <c r="M483" s="2" t="s">
        <v>0</v>
      </c>
      <c r="N483" s="2" t="s">
        <v>12</v>
      </c>
      <c r="O483" s="2" t="s">
        <v>13</v>
      </c>
      <c r="P483" s="2" t="s">
        <v>14</v>
      </c>
      <c r="Q483" s="2" t="s">
        <v>52</v>
      </c>
      <c r="R483" s="2" t="s">
        <v>53</v>
      </c>
      <c r="S483" s="2" t="s">
        <v>17</v>
      </c>
      <c r="T483" s="2" t="s">
        <v>35</v>
      </c>
      <c r="U483" s="2" t="s">
        <v>0</v>
      </c>
    </row>
    <row r="484" spans="1:21">
      <c r="A484" s="2" t="s">
        <v>2600</v>
      </c>
      <c r="B484" s="2" t="s">
        <v>27</v>
      </c>
      <c r="C484" s="2" t="s">
        <v>2601</v>
      </c>
      <c r="D484" s="2" t="s">
        <v>2602</v>
      </c>
      <c r="E484" s="2" t="s">
        <v>2603</v>
      </c>
      <c r="F484" s="2" t="s">
        <v>2604</v>
      </c>
      <c r="G484" s="2" t="s">
        <v>2605</v>
      </c>
      <c r="H484" s="2" t="s">
        <v>2606</v>
      </c>
      <c r="I484" s="2" t="s">
        <v>2607</v>
      </c>
      <c r="J484" s="2" t="s">
        <v>0</v>
      </c>
      <c r="K484" s="2" t="s">
        <v>2359</v>
      </c>
      <c r="L484" s="2" t="s">
        <v>2360</v>
      </c>
      <c r="M484" s="2" t="s">
        <v>0</v>
      </c>
      <c r="N484" s="2" t="s">
        <v>12</v>
      </c>
      <c r="O484" s="2" t="s">
        <v>13</v>
      </c>
      <c r="P484" s="2" t="s">
        <v>14</v>
      </c>
      <c r="Q484" s="2" t="s">
        <v>15</v>
      </c>
      <c r="R484" s="2" t="s">
        <v>16</v>
      </c>
      <c r="S484" s="2" t="s">
        <v>17</v>
      </c>
      <c r="T484" s="2" t="s">
        <v>35</v>
      </c>
      <c r="U484" s="2" t="s">
        <v>2608</v>
      </c>
    </row>
    <row r="485" spans="1:21">
      <c r="A485" s="2" t="s">
        <v>2609</v>
      </c>
      <c r="B485" s="2" t="s">
        <v>27</v>
      </c>
      <c r="C485" s="2" t="s">
        <v>2610</v>
      </c>
      <c r="D485" s="2" t="s">
        <v>2611</v>
      </c>
      <c r="E485" s="2" t="s">
        <v>2612</v>
      </c>
      <c r="F485" s="2" t="s">
        <v>226</v>
      </c>
      <c r="G485" s="2" t="s">
        <v>227</v>
      </c>
      <c r="H485" s="2" t="s">
        <v>2606</v>
      </c>
      <c r="I485" s="2" t="s">
        <v>2607</v>
      </c>
      <c r="J485" s="2" t="s">
        <v>0</v>
      </c>
      <c r="K485" s="2" t="s">
        <v>2359</v>
      </c>
      <c r="L485" s="2" t="s">
        <v>2360</v>
      </c>
      <c r="M485" s="2" t="s">
        <v>0</v>
      </c>
      <c r="N485" s="2" t="s">
        <v>12</v>
      </c>
      <c r="O485" s="2" t="s">
        <v>13</v>
      </c>
      <c r="P485" s="2" t="s">
        <v>14</v>
      </c>
      <c r="Q485" s="2" t="s">
        <v>15</v>
      </c>
      <c r="R485" s="2" t="s">
        <v>16</v>
      </c>
      <c r="S485" s="2" t="s">
        <v>17</v>
      </c>
      <c r="T485" s="2" t="s">
        <v>35</v>
      </c>
      <c r="U485" s="2" t="s">
        <v>2613</v>
      </c>
    </row>
    <row r="486" spans="1:21">
      <c r="A486" s="2" t="s">
        <v>2614</v>
      </c>
      <c r="B486" s="2" t="s">
        <v>27</v>
      </c>
      <c r="C486" s="2" t="s">
        <v>2615</v>
      </c>
      <c r="D486" s="2" t="s">
        <v>2616</v>
      </c>
      <c r="E486" s="2" t="s">
        <v>2617</v>
      </c>
      <c r="F486" s="2" t="s">
        <v>2618</v>
      </c>
      <c r="G486" s="2" t="s">
        <v>2619</v>
      </c>
      <c r="H486" s="2" t="s">
        <v>2620</v>
      </c>
      <c r="I486" s="2" t="s">
        <v>0</v>
      </c>
      <c r="J486" s="2" t="s">
        <v>0</v>
      </c>
      <c r="K486" s="2" t="s">
        <v>2467</v>
      </c>
      <c r="L486" s="2" t="s">
        <v>2360</v>
      </c>
      <c r="M486" s="2" t="s">
        <v>0</v>
      </c>
      <c r="N486" s="2" t="s">
        <v>12</v>
      </c>
      <c r="O486" s="2" t="s">
        <v>13</v>
      </c>
      <c r="P486" s="2" t="s">
        <v>14</v>
      </c>
      <c r="Q486" s="2" t="s">
        <v>52</v>
      </c>
      <c r="R486" s="2" t="s">
        <v>53</v>
      </c>
      <c r="S486" s="2" t="s">
        <v>17</v>
      </c>
      <c r="T486" s="2" t="s">
        <v>35</v>
      </c>
      <c r="U486" s="2" t="s">
        <v>2621</v>
      </c>
    </row>
    <row r="487" spans="1:21">
      <c r="A487" s="2" t="s">
        <v>2622</v>
      </c>
      <c r="B487" s="2" t="s">
        <v>27</v>
      </c>
      <c r="C487" s="2" t="s">
        <v>2623</v>
      </c>
      <c r="D487" s="2" t="s">
        <v>2624</v>
      </c>
      <c r="E487" s="2" t="s">
        <v>2625</v>
      </c>
      <c r="F487" s="2" t="s">
        <v>2626</v>
      </c>
      <c r="G487" s="2" t="s">
        <v>2627</v>
      </c>
      <c r="H487" s="2" t="s">
        <v>2628</v>
      </c>
      <c r="I487" s="2" t="s">
        <v>2629</v>
      </c>
      <c r="J487" s="2" t="s">
        <v>0</v>
      </c>
      <c r="K487" s="2" t="s">
        <v>2359</v>
      </c>
      <c r="L487" s="2" t="s">
        <v>2360</v>
      </c>
      <c r="M487" s="2" t="s">
        <v>0</v>
      </c>
      <c r="N487" s="2" t="s">
        <v>12</v>
      </c>
      <c r="O487" s="2" t="s">
        <v>13</v>
      </c>
      <c r="P487" s="2" t="s">
        <v>14</v>
      </c>
      <c r="Q487" s="2" t="s">
        <v>15</v>
      </c>
      <c r="R487" s="2" t="s">
        <v>16</v>
      </c>
      <c r="S487" s="2" t="s">
        <v>17</v>
      </c>
      <c r="T487" s="2" t="s">
        <v>35</v>
      </c>
      <c r="U487" s="2" t="s">
        <v>0</v>
      </c>
    </row>
    <row r="488" spans="1:21">
      <c r="A488" s="2" t="s">
        <v>2630</v>
      </c>
      <c r="B488" s="2" t="s">
        <v>27</v>
      </c>
      <c r="C488" s="2" t="s">
        <v>692</v>
      </c>
      <c r="D488" s="2" t="s">
        <v>2631</v>
      </c>
      <c r="E488" s="2" t="s">
        <v>2632</v>
      </c>
      <c r="F488" s="2" t="s">
        <v>226</v>
      </c>
      <c r="G488" s="2" t="s">
        <v>227</v>
      </c>
      <c r="H488" s="2" t="s">
        <v>2628</v>
      </c>
      <c r="I488" s="2" t="s">
        <v>2629</v>
      </c>
      <c r="J488" s="2" t="s">
        <v>0</v>
      </c>
      <c r="K488" s="2" t="s">
        <v>2359</v>
      </c>
      <c r="L488" s="2" t="s">
        <v>2360</v>
      </c>
      <c r="M488" s="2" t="s">
        <v>0</v>
      </c>
      <c r="N488" s="2" t="s">
        <v>12</v>
      </c>
      <c r="O488" s="2" t="s">
        <v>13</v>
      </c>
      <c r="P488" s="2" t="s">
        <v>14</v>
      </c>
      <c r="Q488" s="2" t="s">
        <v>52</v>
      </c>
      <c r="R488" s="2" t="s">
        <v>53</v>
      </c>
      <c r="S488" s="2" t="s">
        <v>17</v>
      </c>
      <c r="T488" s="2" t="s">
        <v>35</v>
      </c>
      <c r="U488" s="2" t="s">
        <v>0</v>
      </c>
    </row>
    <row r="489" spans="1:21">
      <c r="A489" s="2" t="s">
        <v>2633</v>
      </c>
      <c r="B489" s="2" t="s">
        <v>27</v>
      </c>
      <c r="C489" s="2" t="s">
        <v>2634</v>
      </c>
      <c r="D489" s="2" t="s">
        <v>2635</v>
      </c>
      <c r="E489" s="2" t="s">
        <v>2636</v>
      </c>
      <c r="F489" s="2" t="s">
        <v>2637</v>
      </c>
      <c r="G489" s="2" t="s">
        <v>2638</v>
      </c>
      <c r="H489" s="2" t="s">
        <v>2639</v>
      </c>
      <c r="I489" s="2" t="s">
        <v>0</v>
      </c>
      <c r="J489" s="2" t="s">
        <v>2640</v>
      </c>
      <c r="K489" s="2" t="s">
        <v>0</v>
      </c>
      <c r="L489" s="2" t="s">
        <v>2360</v>
      </c>
      <c r="M489" s="2" t="s">
        <v>0</v>
      </c>
      <c r="N489" s="2" t="s">
        <v>12</v>
      </c>
      <c r="O489" s="2" t="s">
        <v>13</v>
      </c>
      <c r="P489" s="2" t="s">
        <v>14</v>
      </c>
      <c r="Q489" s="2" t="s">
        <v>52</v>
      </c>
      <c r="R489" s="2" t="s">
        <v>16</v>
      </c>
      <c r="S489" s="2" t="s">
        <v>17</v>
      </c>
      <c r="T489" s="2" t="s">
        <v>35</v>
      </c>
      <c r="U489" s="2" t="s">
        <v>2641</v>
      </c>
    </row>
    <row r="490" spans="1:21">
      <c r="A490" s="2" t="s">
        <v>2642</v>
      </c>
      <c r="B490" s="2" t="s">
        <v>27</v>
      </c>
      <c r="C490" s="2" t="s">
        <v>2643</v>
      </c>
      <c r="D490" s="2" t="s">
        <v>2644</v>
      </c>
      <c r="E490" s="2" t="s">
        <v>2645</v>
      </c>
      <c r="F490" s="2" t="s">
        <v>226</v>
      </c>
      <c r="G490" s="2" t="s">
        <v>227</v>
      </c>
      <c r="H490" s="2" t="s">
        <v>2646</v>
      </c>
      <c r="I490" s="2" t="s">
        <v>2647</v>
      </c>
      <c r="J490" s="2" t="s">
        <v>2640</v>
      </c>
      <c r="K490" s="2" t="s">
        <v>0</v>
      </c>
      <c r="L490" s="2" t="s">
        <v>2360</v>
      </c>
      <c r="M490" s="2" t="s">
        <v>0</v>
      </c>
      <c r="N490" s="2" t="s">
        <v>12</v>
      </c>
      <c r="O490" s="2" t="s">
        <v>13</v>
      </c>
      <c r="P490" s="2" t="s">
        <v>14</v>
      </c>
      <c r="Q490" s="2" t="s">
        <v>0</v>
      </c>
      <c r="R490" s="2" t="s">
        <v>16</v>
      </c>
      <c r="S490" s="2" t="s">
        <v>17</v>
      </c>
      <c r="T490" s="2" t="s">
        <v>35</v>
      </c>
      <c r="U490" s="2" t="s">
        <v>0</v>
      </c>
    </row>
    <row r="491" spans="1:21">
      <c r="A491" s="2" t="s">
        <v>2648</v>
      </c>
      <c r="B491" s="2" t="s">
        <v>27</v>
      </c>
      <c r="C491" s="2" t="s">
        <v>2649</v>
      </c>
      <c r="D491" s="2" t="s">
        <v>2650</v>
      </c>
      <c r="E491" s="2" t="s">
        <v>2651</v>
      </c>
      <c r="F491" s="2" t="s">
        <v>2652</v>
      </c>
      <c r="G491" s="2" t="s">
        <v>2653</v>
      </c>
      <c r="H491" s="2" t="s">
        <v>2646</v>
      </c>
      <c r="I491" s="2" t="s">
        <v>2647</v>
      </c>
      <c r="J491" s="2" t="s">
        <v>2640</v>
      </c>
      <c r="K491" s="2" t="s">
        <v>0</v>
      </c>
      <c r="L491" s="2" t="s">
        <v>2360</v>
      </c>
      <c r="M491" s="2" t="s">
        <v>0</v>
      </c>
      <c r="N491" s="2" t="s">
        <v>12</v>
      </c>
      <c r="O491" s="2" t="s">
        <v>13</v>
      </c>
      <c r="P491" s="2" t="s">
        <v>14</v>
      </c>
      <c r="Q491" s="2" t="s">
        <v>15</v>
      </c>
      <c r="R491" s="2" t="s">
        <v>16</v>
      </c>
      <c r="S491" s="2" t="s">
        <v>17</v>
      </c>
      <c r="T491" s="2" t="s">
        <v>35</v>
      </c>
      <c r="U491" s="2" t="s">
        <v>0</v>
      </c>
    </row>
    <row r="492" spans="1:21">
      <c r="A492" s="2" t="s">
        <v>2654</v>
      </c>
      <c r="B492" s="2" t="s">
        <v>3</v>
      </c>
      <c r="C492" s="2" t="s">
        <v>2655</v>
      </c>
      <c r="D492" s="2" t="s">
        <v>2656</v>
      </c>
      <c r="E492" s="2" t="s">
        <v>2657</v>
      </c>
      <c r="F492" s="2" t="s">
        <v>7</v>
      </c>
      <c r="G492" s="2" t="s">
        <v>8</v>
      </c>
      <c r="H492" s="2" t="s">
        <v>2658</v>
      </c>
      <c r="I492" s="2" t="s">
        <v>0</v>
      </c>
      <c r="J492" s="2" t="s">
        <v>2659</v>
      </c>
      <c r="K492" s="2" t="s">
        <v>2660</v>
      </c>
      <c r="L492" s="2" t="s">
        <v>2661</v>
      </c>
      <c r="M492" s="2" t="s">
        <v>2662</v>
      </c>
      <c r="N492" s="2" t="s">
        <v>12</v>
      </c>
      <c r="O492" s="2" t="s">
        <v>0</v>
      </c>
      <c r="P492" s="2" t="s">
        <v>14</v>
      </c>
      <c r="Q492" s="2" t="s">
        <v>52</v>
      </c>
      <c r="R492" s="2" t="s">
        <v>747</v>
      </c>
      <c r="S492" s="2" t="s">
        <v>17</v>
      </c>
      <c r="T492" s="2" t="s">
        <v>18</v>
      </c>
      <c r="U492" s="2" t="s">
        <v>0</v>
      </c>
    </row>
    <row r="493" spans="1:21">
      <c r="A493" s="2" t="s">
        <v>2663</v>
      </c>
      <c r="B493" s="2" t="s">
        <v>27</v>
      </c>
      <c r="C493" s="2" t="s">
        <v>2664</v>
      </c>
      <c r="D493" s="2" t="s">
        <v>2665</v>
      </c>
      <c r="E493" s="2" t="s">
        <v>2666</v>
      </c>
      <c r="F493" s="2" t="s">
        <v>2667</v>
      </c>
      <c r="G493" s="2" t="s">
        <v>2668</v>
      </c>
      <c r="H493" s="2" t="s">
        <v>2669</v>
      </c>
      <c r="I493" s="2" t="s">
        <v>0</v>
      </c>
      <c r="J493" s="2" t="s">
        <v>2670</v>
      </c>
      <c r="K493" s="2" t="s">
        <v>0</v>
      </c>
      <c r="L493" s="2" t="s">
        <v>2661</v>
      </c>
      <c r="M493" s="2" t="s">
        <v>2662</v>
      </c>
      <c r="N493" s="2" t="s">
        <v>12</v>
      </c>
      <c r="O493" s="2" t="s">
        <v>13</v>
      </c>
      <c r="P493" s="2" t="s">
        <v>14</v>
      </c>
      <c r="Q493" s="2" t="s">
        <v>1346</v>
      </c>
      <c r="R493" s="2" t="s">
        <v>1039</v>
      </c>
      <c r="S493" s="2" t="s">
        <v>17</v>
      </c>
      <c r="T493" s="2" t="s">
        <v>35</v>
      </c>
      <c r="U493" s="2" t="s">
        <v>0</v>
      </c>
    </row>
    <row r="494" spans="1:21">
      <c r="A494" s="2" t="s">
        <v>2671</v>
      </c>
      <c r="B494" s="2" t="s">
        <v>3</v>
      </c>
      <c r="C494" s="2" t="s">
        <v>2672</v>
      </c>
      <c r="D494" s="2" t="s">
        <v>1266</v>
      </c>
      <c r="E494" s="2" t="s">
        <v>2673</v>
      </c>
      <c r="F494" s="2" t="s">
        <v>2674</v>
      </c>
      <c r="G494" s="2" t="s">
        <v>2675</v>
      </c>
      <c r="H494" s="2" t="s">
        <v>2669</v>
      </c>
      <c r="I494" s="2" t="s">
        <v>0</v>
      </c>
      <c r="J494" s="2" t="s">
        <v>2670</v>
      </c>
      <c r="K494" s="2" t="s">
        <v>0</v>
      </c>
      <c r="L494" s="2" t="s">
        <v>2661</v>
      </c>
      <c r="M494" s="2" t="s">
        <v>2662</v>
      </c>
      <c r="N494" s="2" t="s">
        <v>12</v>
      </c>
      <c r="O494" s="2" t="s">
        <v>13</v>
      </c>
      <c r="P494" s="2" t="s">
        <v>14</v>
      </c>
      <c r="Q494" s="2" t="s">
        <v>1346</v>
      </c>
      <c r="R494" s="2" t="s">
        <v>2676</v>
      </c>
      <c r="S494" s="2" t="s">
        <v>17</v>
      </c>
      <c r="T494" s="2" t="s">
        <v>18</v>
      </c>
      <c r="U494" s="2" t="s">
        <v>0</v>
      </c>
    </row>
    <row r="495" spans="1:21">
      <c r="A495" s="2" t="s">
        <v>2677</v>
      </c>
      <c r="B495" s="2" t="s">
        <v>27</v>
      </c>
      <c r="C495" s="2" t="s">
        <v>2678</v>
      </c>
      <c r="D495" s="2" t="s">
        <v>2679</v>
      </c>
      <c r="E495" s="2" t="s">
        <v>2680</v>
      </c>
      <c r="F495" s="2" t="s">
        <v>2681</v>
      </c>
      <c r="G495" s="2" t="s">
        <v>2682</v>
      </c>
      <c r="H495" s="2" t="s">
        <v>2683</v>
      </c>
      <c r="I495" s="2" t="s">
        <v>0</v>
      </c>
      <c r="J495" s="2" t="s">
        <v>2684</v>
      </c>
      <c r="K495" s="2" t="s">
        <v>0</v>
      </c>
      <c r="L495" s="2" t="s">
        <v>2661</v>
      </c>
      <c r="M495" s="2" t="s">
        <v>2662</v>
      </c>
      <c r="N495" s="2" t="s">
        <v>12</v>
      </c>
      <c r="O495" s="2" t="s">
        <v>13</v>
      </c>
      <c r="P495" s="2" t="s">
        <v>14</v>
      </c>
      <c r="Q495" s="2" t="s">
        <v>15</v>
      </c>
      <c r="R495" s="2" t="s">
        <v>1976</v>
      </c>
      <c r="S495" s="2" t="s">
        <v>17</v>
      </c>
      <c r="T495" s="2" t="s">
        <v>35</v>
      </c>
      <c r="U495" s="2" t="s">
        <v>2685</v>
      </c>
    </row>
    <row r="496" spans="1:21">
      <c r="A496" s="2" t="s">
        <v>2686</v>
      </c>
      <c r="B496" s="2" t="s">
        <v>3</v>
      </c>
      <c r="C496" s="2" t="s">
        <v>2687</v>
      </c>
      <c r="D496" s="2" t="s">
        <v>2688</v>
      </c>
      <c r="E496" s="2" t="s">
        <v>2689</v>
      </c>
      <c r="F496" s="2" t="s">
        <v>2674</v>
      </c>
      <c r="G496" s="2" t="s">
        <v>2675</v>
      </c>
      <c r="H496" s="2" t="s">
        <v>2683</v>
      </c>
      <c r="I496" s="2" t="s">
        <v>0</v>
      </c>
      <c r="J496" s="2" t="s">
        <v>2684</v>
      </c>
      <c r="K496" s="2" t="s">
        <v>0</v>
      </c>
      <c r="L496" s="2" t="s">
        <v>2661</v>
      </c>
      <c r="M496" s="2" t="s">
        <v>2662</v>
      </c>
      <c r="N496" s="2" t="s">
        <v>12</v>
      </c>
      <c r="O496" s="2" t="s">
        <v>13</v>
      </c>
      <c r="P496" s="2" t="s">
        <v>14</v>
      </c>
      <c r="Q496" s="2" t="s">
        <v>15</v>
      </c>
      <c r="R496" s="2" t="s">
        <v>16</v>
      </c>
      <c r="S496" s="2" t="s">
        <v>17</v>
      </c>
      <c r="T496" s="2" t="s">
        <v>18</v>
      </c>
      <c r="U496" s="2" t="s">
        <v>2690</v>
      </c>
    </row>
    <row r="497" spans="1:21">
      <c r="A497" s="2" t="s">
        <v>2691</v>
      </c>
      <c r="B497" s="2" t="s">
        <v>27</v>
      </c>
      <c r="C497" s="2" t="s">
        <v>2692</v>
      </c>
      <c r="D497" s="2" t="s">
        <v>2693</v>
      </c>
      <c r="E497" s="2" t="s">
        <v>2694</v>
      </c>
      <c r="F497" s="2" t="s">
        <v>2695</v>
      </c>
      <c r="G497" s="2" t="s">
        <v>2696</v>
      </c>
      <c r="H497" s="2" t="s">
        <v>2697</v>
      </c>
      <c r="I497" s="2" t="s">
        <v>0</v>
      </c>
      <c r="J497" s="2" t="s">
        <v>2698</v>
      </c>
      <c r="K497" s="2" t="s">
        <v>0</v>
      </c>
      <c r="L497" s="2" t="s">
        <v>2661</v>
      </c>
      <c r="M497" s="2" t="s">
        <v>2662</v>
      </c>
      <c r="N497" s="2" t="s">
        <v>12</v>
      </c>
      <c r="O497" s="2" t="s">
        <v>13</v>
      </c>
      <c r="P497" s="2" t="s">
        <v>14</v>
      </c>
      <c r="Q497" s="2" t="s">
        <v>1153</v>
      </c>
      <c r="R497" s="2" t="s">
        <v>1976</v>
      </c>
      <c r="S497" s="2" t="s">
        <v>17</v>
      </c>
      <c r="T497" s="2" t="s">
        <v>35</v>
      </c>
      <c r="U497" s="2" t="s">
        <v>0</v>
      </c>
    </row>
    <row r="498" spans="1:21">
      <c r="A498" s="2" t="s">
        <v>2699</v>
      </c>
      <c r="B498" s="2" t="s">
        <v>3</v>
      </c>
      <c r="C498" s="2" t="s">
        <v>2700</v>
      </c>
      <c r="D498" s="2" t="s">
        <v>2701</v>
      </c>
      <c r="E498" s="2" t="s">
        <v>2702</v>
      </c>
      <c r="F498" s="2" t="s">
        <v>2674</v>
      </c>
      <c r="G498" s="2" t="s">
        <v>2675</v>
      </c>
      <c r="H498" s="2" t="s">
        <v>2697</v>
      </c>
      <c r="I498" s="2" t="s">
        <v>0</v>
      </c>
      <c r="J498" s="2" t="s">
        <v>2698</v>
      </c>
      <c r="K498" s="2" t="s">
        <v>0</v>
      </c>
      <c r="L498" s="2" t="s">
        <v>2661</v>
      </c>
      <c r="M498" s="2" t="s">
        <v>2662</v>
      </c>
      <c r="N498" s="2" t="s">
        <v>12</v>
      </c>
      <c r="O498" s="2" t="s">
        <v>13</v>
      </c>
      <c r="P498" s="2" t="s">
        <v>14</v>
      </c>
      <c r="Q498" s="2" t="s">
        <v>1153</v>
      </c>
      <c r="R498" s="2" t="s">
        <v>1976</v>
      </c>
      <c r="S498" s="2" t="s">
        <v>17</v>
      </c>
      <c r="T498" s="2" t="s">
        <v>18</v>
      </c>
      <c r="U498" s="2" t="s">
        <v>2703</v>
      </c>
    </row>
    <row r="499" spans="1:21">
      <c r="A499" s="2" t="s">
        <v>2704</v>
      </c>
      <c r="B499" s="2" t="s">
        <v>27</v>
      </c>
      <c r="C499" s="2" t="s">
        <v>1076</v>
      </c>
      <c r="D499" s="2" t="s">
        <v>2705</v>
      </c>
      <c r="E499" s="2" t="s">
        <v>2706</v>
      </c>
      <c r="F499" s="2" t="s">
        <v>2707</v>
      </c>
      <c r="G499" s="2" t="s">
        <v>2708</v>
      </c>
      <c r="H499" s="2" t="s">
        <v>2709</v>
      </c>
      <c r="I499" s="2" t="s">
        <v>0</v>
      </c>
      <c r="J499" s="2" t="s">
        <v>2710</v>
      </c>
      <c r="K499" s="2" t="s">
        <v>0</v>
      </c>
      <c r="L499" s="2" t="s">
        <v>2661</v>
      </c>
      <c r="M499" s="2" t="s">
        <v>2662</v>
      </c>
      <c r="N499" s="2" t="s">
        <v>12</v>
      </c>
      <c r="O499" s="2" t="s">
        <v>13</v>
      </c>
      <c r="P499" s="2" t="s">
        <v>14</v>
      </c>
      <c r="Q499" s="2" t="s">
        <v>878</v>
      </c>
      <c r="R499" s="2" t="s">
        <v>2676</v>
      </c>
      <c r="S499" s="2" t="s">
        <v>17</v>
      </c>
      <c r="T499" s="2" t="s">
        <v>35</v>
      </c>
      <c r="U499" s="2" t="s">
        <v>2711</v>
      </c>
    </row>
    <row r="500" spans="1:21">
      <c r="A500" s="2" t="s">
        <v>2712</v>
      </c>
      <c r="B500" s="2" t="s">
        <v>27</v>
      </c>
      <c r="C500" s="2" t="s">
        <v>2713</v>
      </c>
      <c r="D500" s="2" t="s">
        <v>2714</v>
      </c>
      <c r="E500" s="2" t="s">
        <v>2715</v>
      </c>
      <c r="F500" s="2" t="s">
        <v>2674</v>
      </c>
      <c r="G500" s="2" t="s">
        <v>2675</v>
      </c>
      <c r="H500" s="2" t="s">
        <v>2709</v>
      </c>
      <c r="I500" s="2" t="s">
        <v>0</v>
      </c>
      <c r="J500" s="2" t="s">
        <v>2710</v>
      </c>
      <c r="K500" s="2" t="s">
        <v>0</v>
      </c>
      <c r="L500" s="2" t="s">
        <v>2661</v>
      </c>
      <c r="M500" s="2" t="s">
        <v>2662</v>
      </c>
      <c r="N500" s="2" t="s">
        <v>12</v>
      </c>
      <c r="O500" s="2" t="s">
        <v>13</v>
      </c>
      <c r="P500" s="2" t="s">
        <v>14</v>
      </c>
      <c r="Q500" s="2" t="s">
        <v>878</v>
      </c>
      <c r="R500" s="2" t="s">
        <v>1039</v>
      </c>
      <c r="S500" s="2" t="s">
        <v>17</v>
      </c>
      <c r="T500" s="2" t="s">
        <v>35</v>
      </c>
      <c r="U500" s="2" t="s">
        <v>0</v>
      </c>
    </row>
    <row r="501" spans="1:21">
      <c r="A501" s="2" t="s">
        <v>2716</v>
      </c>
      <c r="B501" s="2" t="s">
        <v>3</v>
      </c>
      <c r="C501" s="2" t="s">
        <v>2717</v>
      </c>
      <c r="D501" s="2" t="s">
        <v>2718</v>
      </c>
      <c r="E501" s="2" t="s">
        <v>2719</v>
      </c>
      <c r="F501" s="2" t="s">
        <v>2674</v>
      </c>
      <c r="G501" s="2" t="s">
        <v>2675</v>
      </c>
      <c r="H501" s="2" t="s">
        <v>2720</v>
      </c>
      <c r="I501" s="2" t="s">
        <v>2721</v>
      </c>
      <c r="J501" s="2" t="s">
        <v>0</v>
      </c>
      <c r="K501" s="2" t="s">
        <v>0</v>
      </c>
      <c r="L501" s="2" t="s">
        <v>2661</v>
      </c>
      <c r="M501" s="2" t="s">
        <v>2662</v>
      </c>
      <c r="N501" s="2" t="s">
        <v>12</v>
      </c>
      <c r="O501" s="2" t="s">
        <v>13</v>
      </c>
      <c r="P501" s="2" t="s">
        <v>14</v>
      </c>
      <c r="Q501" s="2" t="s">
        <v>819</v>
      </c>
      <c r="R501" s="2" t="s">
        <v>820</v>
      </c>
      <c r="S501" s="2" t="s">
        <v>17</v>
      </c>
      <c r="T501" s="2" t="s">
        <v>18</v>
      </c>
      <c r="U501" s="2" t="s">
        <v>0</v>
      </c>
    </row>
    <row r="502" spans="1:21">
      <c r="A502" s="2" t="s">
        <v>2722</v>
      </c>
      <c r="B502" s="2" t="s">
        <v>27</v>
      </c>
      <c r="C502" s="2" t="s">
        <v>2723</v>
      </c>
      <c r="D502" s="2" t="s">
        <v>2724</v>
      </c>
      <c r="E502" s="2" t="s">
        <v>2725</v>
      </c>
      <c r="F502" s="2" t="s">
        <v>2726</v>
      </c>
      <c r="G502" s="2" t="s">
        <v>2727</v>
      </c>
      <c r="H502" s="2" t="s">
        <v>2720</v>
      </c>
      <c r="I502" s="2" t="s">
        <v>2721</v>
      </c>
      <c r="J502" s="2" t="s">
        <v>0</v>
      </c>
      <c r="K502" s="2" t="s">
        <v>0</v>
      </c>
      <c r="L502" s="2" t="s">
        <v>2661</v>
      </c>
      <c r="M502" s="2" t="s">
        <v>2662</v>
      </c>
      <c r="N502" s="2" t="s">
        <v>12</v>
      </c>
      <c r="O502" s="2" t="s">
        <v>13</v>
      </c>
      <c r="P502" s="2" t="s">
        <v>14</v>
      </c>
      <c r="Q502" s="2" t="s">
        <v>819</v>
      </c>
      <c r="R502" s="2" t="s">
        <v>2728</v>
      </c>
      <c r="S502" s="2" t="s">
        <v>2729</v>
      </c>
      <c r="T502" s="2" t="s">
        <v>35</v>
      </c>
      <c r="U502" s="2" t="s">
        <v>0</v>
      </c>
    </row>
    <row r="503" spans="1:21">
      <c r="A503" s="2" t="s">
        <v>2730</v>
      </c>
      <c r="B503" s="2" t="s">
        <v>3</v>
      </c>
      <c r="C503" s="2" t="s">
        <v>2731</v>
      </c>
      <c r="D503" s="2" t="s">
        <v>2732</v>
      </c>
      <c r="E503" s="2" t="s">
        <v>2733</v>
      </c>
      <c r="F503" s="2" t="s">
        <v>2726</v>
      </c>
      <c r="G503" s="2" t="s">
        <v>2727</v>
      </c>
      <c r="H503" s="2" t="s">
        <v>2720</v>
      </c>
      <c r="I503" s="2" t="s">
        <v>2721</v>
      </c>
      <c r="J503" s="2" t="s">
        <v>0</v>
      </c>
      <c r="K503" s="2" t="s">
        <v>0</v>
      </c>
      <c r="L503" s="2" t="s">
        <v>2661</v>
      </c>
      <c r="M503" s="2" t="s">
        <v>2662</v>
      </c>
      <c r="N503" s="2" t="s">
        <v>12</v>
      </c>
      <c r="O503" s="2" t="s">
        <v>13</v>
      </c>
      <c r="P503" s="2" t="s">
        <v>14</v>
      </c>
      <c r="Q503" s="2" t="s">
        <v>819</v>
      </c>
      <c r="R503" s="2" t="s">
        <v>2728</v>
      </c>
      <c r="S503" s="2" t="s">
        <v>2734</v>
      </c>
      <c r="T503" s="2" t="s">
        <v>18</v>
      </c>
      <c r="U503" s="2" t="s">
        <v>0</v>
      </c>
    </row>
    <row r="504" spans="1:21">
      <c r="A504" s="2" t="s">
        <v>2735</v>
      </c>
      <c r="B504" s="2" t="s">
        <v>3</v>
      </c>
      <c r="C504" s="2" t="s">
        <v>2736</v>
      </c>
      <c r="D504" s="2" t="s">
        <v>2737</v>
      </c>
      <c r="E504" s="2" t="s">
        <v>2738</v>
      </c>
      <c r="F504" s="2" t="s">
        <v>2726</v>
      </c>
      <c r="G504" s="2" t="s">
        <v>2727</v>
      </c>
      <c r="H504" s="2" t="s">
        <v>2720</v>
      </c>
      <c r="I504" s="2" t="s">
        <v>2721</v>
      </c>
      <c r="J504" s="2" t="s">
        <v>0</v>
      </c>
      <c r="K504" s="2" t="s">
        <v>0</v>
      </c>
      <c r="L504" s="2" t="s">
        <v>2661</v>
      </c>
      <c r="M504" s="2" t="s">
        <v>2662</v>
      </c>
      <c r="N504" s="2" t="s">
        <v>12</v>
      </c>
      <c r="O504" s="2" t="s">
        <v>13</v>
      </c>
      <c r="P504" s="2" t="s">
        <v>14</v>
      </c>
      <c r="Q504" s="2" t="s">
        <v>52</v>
      </c>
      <c r="R504" s="2" t="s">
        <v>2739</v>
      </c>
      <c r="S504" s="2" t="s">
        <v>2740</v>
      </c>
      <c r="T504" s="2" t="s">
        <v>18</v>
      </c>
      <c r="U504" s="2" t="s">
        <v>0</v>
      </c>
    </row>
    <row r="505" spans="1:21">
      <c r="A505" s="2" t="s">
        <v>2741</v>
      </c>
      <c r="B505" s="2" t="s">
        <v>27</v>
      </c>
      <c r="C505" s="2" t="s">
        <v>1845</v>
      </c>
      <c r="D505" s="2" t="s">
        <v>2742</v>
      </c>
      <c r="E505" s="2" t="s">
        <v>2743</v>
      </c>
      <c r="F505" s="2" t="s">
        <v>2744</v>
      </c>
      <c r="G505" s="2" t="s">
        <v>2745</v>
      </c>
      <c r="H505" s="2" t="s">
        <v>2720</v>
      </c>
      <c r="I505" s="2" t="s">
        <v>2721</v>
      </c>
      <c r="J505" s="2" t="s">
        <v>0</v>
      </c>
      <c r="K505" s="2" t="s">
        <v>0</v>
      </c>
      <c r="L505" s="2" t="s">
        <v>2661</v>
      </c>
      <c r="M505" s="2" t="s">
        <v>2662</v>
      </c>
      <c r="N505" s="2" t="s">
        <v>12</v>
      </c>
      <c r="O505" s="2" t="s">
        <v>13</v>
      </c>
      <c r="P505" s="2" t="s">
        <v>14</v>
      </c>
      <c r="Q505" s="2" t="s">
        <v>52</v>
      </c>
      <c r="R505" s="2" t="s">
        <v>53</v>
      </c>
      <c r="S505" s="2" t="s">
        <v>17</v>
      </c>
      <c r="T505" s="2" t="s">
        <v>35</v>
      </c>
      <c r="U505" s="2" t="s">
        <v>2746</v>
      </c>
    </row>
    <row r="506" spans="1:21">
      <c r="A506" s="2" t="s">
        <v>2747</v>
      </c>
      <c r="B506" s="2" t="s">
        <v>3</v>
      </c>
      <c r="C506" s="2" t="s">
        <v>2748</v>
      </c>
      <c r="D506" s="2" t="s">
        <v>2749</v>
      </c>
      <c r="E506" s="2" t="s">
        <v>2750</v>
      </c>
      <c r="F506" s="2" t="s">
        <v>2726</v>
      </c>
      <c r="G506" s="2" t="s">
        <v>2727</v>
      </c>
      <c r="H506" s="2" t="s">
        <v>2720</v>
      </c>
      <c r="I506" s="2" t="s">
        <v>2721</v>
      </c>
      <c r="J506" s="2" t="s">
        <v>0</v>
      </c>
      <c r="K506" s="2" t="s">
        <v>0</v>
      </c>
      <c r="L506" s="2" t="s">
        <v>2661</v>
      </c>
      <c r="M506" s="2" t="s">
        <v>2662</v>
      </c>
      <c r="N506" s="2" t="s">
        <v>12</v>
      </c>
      <c r="O506" s="2" t="s">
        <v>13</v>
      </c>
      <c r="P506" s="2" t="s">
        <v>14</v>
      </c>
      <c r="Q506" s="2" t="s">
        <v>52</v>
      </c>
      <c r="R506" s="2" t="s">
        <v>2739</v>
      </c>
      <c r="S506" s="2" t="s">
        <v>2751</v>
      </c>
      <c r="T506" s="2" t="s">
        <v>18</v>
      </c>
      <c r="U506" s="2" t="s">
        <v>0</v>
      </c>
    </row>
    <row r="507" spans="1:21">
      <c r="A507" s="2" t="s">
        <v>2752</v>
      </c>
      <c r="B507" s="2" t="s">
        <v>3</v>
      </c>
      <c r="C507" s="2" t="s">
        <v>2753</v>
      </c>
      <c r="D507" s="2" t="s">
        <v>2754</v>
      </c>
      <c r="E507" s="2" t="s">
        <v>2755</v>
      </c>
      <c r="F507" s="2" t="s">
        <v>2756</v>
      </c>
      <c r="G507" s="2" t="s">
        <v>2757</v>
      </c>
      <c r="H507" s="2" t="s">
        <v>2720</v>
      </c>
      <c r="I507" s="2" t="s">
        <v>2721</v>
      </c>
      <c r="J507" s="2" t="s">
        <v>0</v>
      </c>
      <c r="K507" s="2" t="s">
        <v>0</v>
      </c>
      <c r="L507" s="2" t="s">
        <v>2661</v>
      </c>
      <c r="M507" s="2" t="s">
        <v>2662</v>
      </c>
      <c r="N507" s="2" t="s">
        <v>12</v>
      </c>
      <c r="O507" s="2" t="s">
        <v>13</v>
      </c>
      <c r="P507" s="2" t="s">
        <v>14</v>
      </c>
      <c r="Q507" s="2" t="s">
        <v>52</v>
      </c>
      <c r="R507" s="2" t="s">
        <v>53</v>
      </c>
      <c r="S507" s="2" t="s">
        <v>17</v>
      </c>
      <c r="T507" s="2" t="s">
        <v>18</v>
      </c>
      <c r="U507" s="2" t="s">
        <v>2758</v>
      </c>
    </row>
    <row r="508" spans="1:21">
      <c r="A508" s="2" t="s">
        <v>2759</v>
      </c>
      <c r="B508" s="2" t="s">
        <v>46</v>
      </c>
      <c r="C508" s="2" t="s">
        <v>2760</v>
      </c>
      <c r="D508" s="2" t="s">
        <v>2761</v>
      </c>
      <c r="E508" s="2" t="s">
        <v>2762</v>
      </c>
      <c r="F508" s="2" t="s">
        <v>2674</v>
      </c>
      <c r="G508" s="2" t="s">
        <v>2675</v>
      </c>
      <c r="H508" s="2" t="s">
        <v>2720</v>
      </c>
      <c r="I508" s="2" t="s">
        <v>2721</v>
      </c>
      <c r="J508" s="2" t="s">
        <v>0</v>
      </c>
      <c r="K508" s="2" t="s">
        <v>0</v>
      </c>
      <c r="L508" s="2" t="s">
        <v>2661</v>
      </c>
      <c r="M508" s="2" t="s">
        <v>2662</v>
      </c>
      <c r="N508" s="2" t="s">
        <v>12</v>
      </c>
      <c r="O508" s="2" t="s">
        <v>13</v>
      </c>
      <c r="P508" s="2" t="s">
        <v>14</v>
      </c>
      <c r="Q508" s="2" t="s">
        <v>52</v>
      </c>
      <c r="R508" s="2" t="s">
        <v>53</v>
      </c>
      <c r="S508" s="2" t="s">
        <v>17</v>
      </c>
      <c r="T508" s="2" t="s">
        <v>18</v>
      </c>
      <c r="U508" s="2" t="s">
        <v>0</v>
      </c>
    </row>
    <row r="509" spans="1:21">
      <c r="A509" s="2" t="s">
        <v>2763</v>
      </c>
      <c r="B509" s="2" t="s">
        <v>3</v>
      </c>
      <c r="C509" s="2" t="s">
        <v>2764</v>
      </c>
      <c r="D509" s="2" t="s">
        <v>2765</v>
      </c>
      <c r="E509" s="2" t="s">
        <v>2766</v>
      </c>
      <c r="F509" s="2" t="s">
        <v>2726</v>
      </c>
      <c r="G509" s="2" t="s">
        <v>2727</v>
      </c>
      <c r="H509" s="2" t="s">
        <v>2720</v>
      </c>
      <c r="I509" s="2" t="s">
        <v>2721</v>
      </c>
      <c r="J509" s="2" t="s">
        <v>0</v>
      </c>
      <c r="K509" s="2" t="s">
        <v>0</v>
      </c>
      <c r="L509" s="2" t="s">
        <v>2661</v>
      </c>
      <c r="M509" s="2" t="s">
        <v>2662</v>
      </c>
      <c r="N509" s="2" t="s">
        <v>12</v>
      </c>
      <c r="O509" s="2" t="s">
        <v>13</v>
      </c>
      <c r="P509" s="2" t="s">
        <v>14</v>
      </c>
      <c r="Q509" s="2" t="s">
        <v>52</v>
      </c>
      <c r="R509" s="2" t="s">
        <v>2739</v>
      </c>
      <c r="S509" s="2" t="s">
        <v>2767</v>
      </c>
      <c r="T509" s="2" t="s">
        <v>18</v>
      </c>
      <c r="U509" s="2" t="s">
        <v>0</v>
      </c>
    </row>
    <row r="510" spans="1:21">
      <c r="A510" s="2" t="s">
        <v>2768</v>
      </c>
      <c r="B510" s="2" t="s">
        <v>27</v>
      </c>
      <c r="C510" s="2" t="s">
        <v>2769</v>
      </c>
      <c r="D510" s="2" t="s">
        <v>2770</v>
      </c>
      <c r="E510" s="2" t="s">
        <v>2771</v>
      </c>
      <c r="F510" s="2" t="s">
        <v>2674</v>
      </c>
      <c r="G510" s="2" t="s">
        <v>2675</v>
      </c>
      <c r="H510" s="2" t="s">
        <v>2720</v>
      </c>
      <c r="I510" s="2" t="s">
        <v>2721</v>
      </c>
      <c r="J510" s="2" t="s">
        <v>0</v>
      </c>
      <c r="K510" s="2" t="s">
        <v>0</v>
      </c>
      <c r="L510" s="2" t="s">
        <v>2661</v>
      </c>
      <c r="M510" s="2" t="s">
        <v>2662</v>
      </c>
      <c r="N510" s="2" t="s">
        <v>12</v>
      </c>
      <c r="O510" s="2" t="s">
        <v>13</v>
      </c>
      <c r="P510" s="2" t="s">
        <v>14</v>
      </c>
      <c r="Q510" s="2" t="s">
        <v>52</v>
      </c>
      <c r="R510" s="2" t="s">
        <v>53</v>
      </c>
      <c r="S510" s="2" t="s">
        <v>17</v>
      </c>
      <c r="T510" s="2" t="s">
        <v>35</v>
      </c>
      <c r="U510" s="2" t="s">
        <v>0</v>
      </c>
    </row>
    <row r="511" spans="1:21">
      <c r="A511" s="2" t="s">
        <v>2772</v>
      </c>
      <c r="B511" s="2" t="s">
        <v>3</v>
      </c>
      <c r="C511" s="2" t="s">
        <v>2773</v>
      </c>
      <c r="D511" s="2" t="s">
        <v>2774</v>
      </c>
      <c r="E511" s="2" t="s">
        <v>2775</v>
      </c>
      <c r="F511" s="2" t="s">
        <v>2726</v>
      </c>
      <c r="G511" s="2" t="s">
        <v>2727</v>
      </c>
      <c r="H511" s="2" t="s">
        <v>2720</v>
      </c>
      <c r="I511" s="2" t="s">
        <v>2721</v>
      </c>
      <c r="J511" s="2" t="s">
        <v>0</v>
      </c>
      <c r="K511" s="2" t="s">
        <v>0</v>
      </c>
      <c r="L511" s="2" t="s">
        <v>2661</v>
      </c>
      <c r="M511" s="2" t="s">
        <v>2662</v>
      </c>
      <c r="N511" s="2" t="s">
        <v>12</v>
      </c>
      <c r="O511" s="2" t="s">
        <v>13</v>
      </c>
      <c r="P511" s="2" t="s">
        <v>14</v>
      </c>
      <c r="Q511" s="2" t="s">
        <v>52</v>
      </c>
      <c r="R511" s="2" t="s">
        <v>2739</v>
      </c>
      <c r="S511" s="2" t="s">
        <v>2776</v>
      </c>
      <c r="T511" s="2" t="s">
        <v>18</v>
      </c>
      <c r="U511" s="2" t="s">
        <v>0</v>
      </c>
    </row>
    <row r="512" spans="1:21">
      <c r="A512" s="2" t="s">
        <v>2777</v>
      </c>
      <c r="B512" s="2" t="s">
        <v>3</v>
      </c>
      <c r="C512" s="2" t="s">
        <v>2778</v>
      </c>
      <c r="D512" s="2" t="s">
        <v>2779</v>
      </c>
      <c r="E512" s="2" t="s">
        <v>2780</v>
      </c>
      <c r="F512" s="2" t="s">
        <v>2726</v>
      </c>
      <c r="G512" s="2" t="s">
        <v>2727</v>
      </c>
      <c r="H512" s="2" t="s">
        <v>2720</v>
      </c>
      <c r="I512" s="2" t="s">
        <v>2721</v>
      </c>
      <c r="J512" s="2" t="s">
        <v>0</v>
      </c>
      <c r="K512" s="2" t="s">
        <v>0</v>
      </c>
      <c r="L512" s="2" t="s">
        <v>2661</v>
      </c>
      <c r="M512" s="2" t="s">
        <v>2662</v>
      </c>
      <c r="N512" s="2" t="s">
        <v>12</v>
      </c>
      <c r="O512" s="2" t="s">
        <v>13</v>
      </c>
      <c r="P512" s="2" t="s">
        <v>14</v>
      </c>
      <c r="Q512" s="2" t="s">
        <v>52</v>
      </c>
      <c r="R512" s="2" t="s">
        <v>53</v>
      </c>
      <c r="S512" s="2" t="s">
        <v>17</v>
      </c>
      <c r="T512" s="2" t="s">
        <v>18</v>
      </c>
      <c r="U512" s="2" t="s">
        <v>0</v>
      </c>
    </row>
    <row r="513" spans="1:21">
      <c r="A513" s="2" t="s">
        <v>2781</v>
      </c>
      <c r="B513" s="2" t="s">
        <v>27</v>
      </c>
      <c r="C513" s="2" t="s">
        <v>2172</v>
      </c>
      <c r="D513" s="2" t="s">
        <v>2782</v>
      </c>
      <c r="E513" s="2" t="s">
        <v>2783</v>
      </c>
      <c r="F513" s="2" t="s">
        <v>2674</v>
      </c>
      <c r="G513" s="2" t="s">
        <v>2675</v>
      </c>
      <c r="H513" s="2" t="s">
        <v>2720</v>
      </c>
      <c r="I513" s="2" t="s">
        <v>2721</v>
      </c>
      <c r="J513" s="2" t="s">
        <v>0</v>
      </c>
      <c r="K513" s="2" t="s">
        <v>0</v>
      </c>
      <c r="L513" s="2" t="s">
        <v>2661</v>
      </c>
      <c r="M513" s="2" t="s">
        <v>2662</v>
      </c>
      <c r="N513" s="2" t="s">
        <v>12</v>
      </c>
      <c r="O513" s="2" t="s">
        <v>13</v>
      </c>
      <c r="P513" s="2" t="s">
        <v>14</v>
      </c>
      <c r="Q513" s="2" t="s">
        <v>52</v>
      </c>
      <c r="R513" s="2" t="s">
        <v>53</v>
      </c>
      <c r="S513" s="2" t="s">
        <v>17</v>
      </c>
      <c r="T513" s="2" t="s">
        <v>35</v>
      </c>
      <c r="U513" s="2" t="s">
        <v>0</v>
      </c>
    </row>
    <row r="514" spans="1:21">
      <c r="A514" s="2" t="s">
        <v>2784</v>
      </c>
      <c r="B514" s="2" t="s">
        <v>3</v>
      </c>
      <c r="C514" s="2" t="s">
        <v>2785</v>
      </c>
      <c r="D514" s="2" t="s">
        <v>2786</v>
      </c>
      <c r="E514" s="2" t="s">
        <v>2787</v>
      </c>
      <c r="F514" s="2" t="s">
        <v>7</v>
      </c>
      <c r="G514" s="2" t="s">
        <v>8</v>
      </c>
      <c r="H514" s="2" t="s">
        <v>2720</v>
      </c>
      <c r="I514" s="2" t="s">
        <v>2721</v>
      </c>
      <c r="J514" s="2" t="s">
        <v>0</v>
      </c>
      <c r="K514" s="2" t="s">
        <v>0</v>
      </c>
      <c r="L514" s="2" t="s">
        <v>2661</v>
      </c>
      <c r="M514" s="2" t="s">
        <v>2662</v>
      </c>
      <c r="N514" s="2" t="s">
        <v>12</v>
      </c>
      <c r="O514" s="2" t="s">
        <v>13</v>
      </c>
      <c r="P514" s="2" t="s">
        <v>14</v>
      </c>
      <c r="Q514" s="2" t="s">
        <v>52</v>
      </c>
      <c r="R514" s="2" t="s">
        <v>53</v>
      </c>
      <c r="S514" s="2" t="s">
        <v>17</v>
      </c>
      <c r="T514" s="2" t="s">
        <v>18</v>
      </c>
      <c r="U514" s="2" t="s">
        <v>0</v>
      </c>
    </row>
    <row r="515" spans="1:21">
      <c r="A515" s="2" t="s">
        <v>2788</v>
      </c>
      <c r="B515" s="2" t="s">
        <v>3</v>
      </c>
      <c r="C515" s="2" t="s">
        <v>2789</v>
      </c>
      <c r="D515" s="2" t="s">
        <v>2790</v>
      </c>
      <c r="E515" s="2" t="s">
        <v>2791</v>
      </c>
      <c r="F515" s="2" t="s">
        <v>2726</v>
      </c>
      <c r="G515" s="2" t="s">
        <v>2727</v>
      </c>
      <c r="H515" s="2" t="s">
        <v>2720</v>
      </c>
      <c r="I515" s="2" t="s">
        <v>2721</v>
      </c>
      <c r="J515" s="2" t="s">
        <v>0</v>
      </c>
      <c r="K515" s="2" t="s">
        <v>0</v>
      </c>
      <c r="L515" s="2" t="s">
        <v>2661</v>
      </c>
      <c r="M515" s="2" t="s">
        <v>2662</v>
      </c>
      <c r="N515" s="2" t="s">
        <v>12</v>
      </c>
      <c r="O515" s="2" t="s">
        <v>13</v>
      </c>
      <c r="P515" s="2" t="s">
        <v>14</v>
      </c>
      <c r="Q515" s="2" t="s">
        <v>52</v>
      </c>
      <c r="R515" s="2" t="s">
        <v>2728</v>
      </c>
      <c r="S515" s="2" t="s">
        <v>2792</v>
      </c>
      <c r="T515" s="2" t="s">
        <v>18</v>
      </c>
      <c r="U515" s="2" t="s">
        <v>0</v>
      </c>
    </row>
    <row r="516" spans="1:21">
      <c r="A516" s="2" t="s">
        <v>2793</v>
      </c>
      <c r="B516" s="2" t="s">
        <v>3</v>
      </c>
      <c r="C516" s="2" t="s">
        <v>537</v>
      </c>
      <c r="D516" s="2" t="s">
        <v>2794</v>
      </c>
      <c r="E516" s="2" t="s">
        <v>2795</v>
      </c>
      <c r="F516" s="2" t="s">
        <v>2726</v>
      </c>
      <c r="G516" s="2" t="s">
        <v>2727</v>
      </c>
      <c r="H516" s="2" t="s">
        <v>2720</v>
      </c>
      <c r="I516" s="2" t="s">
        <v>2721</v>
      </c>
      <c r="J516" s="2" t="s">
        <v>0</v>
      </c>
      <c r="K516" s="2" t="s">
        <v>0</v>
      </c>
      <c r="L516" s="2" t="s">
        <v>2661</v>
      </c>
      <c r="M516" s="2" t="s">
        <v>2662</v>
      </c>
      <c r="N516" s="2" t="s">
        <v>12</v>
      </c>
      <c r="O516" s="2" t="s">
        <v>13</v>
      </c>
      <c r="P516" s="2" t="s">
        <v>14</v>
      </c>
      <c r="Q516" s="2" t="s">
        <v>52</v>
      </c>
      <c r="R516" s="2" t="s">
        <v>2739</v>
      </c>
      <c r="S516" s="2" t="s">
        <v>2776</v>
      </c>
      <c r="T516" s="2" t="s">
        <v>18</v>
      </c>
      <c r="U516" s="2" t="s">
        <v>0</v>
      </c>
    </row>
    <row r="517" spans="1:21">
      <c r="A517" s="2" t="s">
        <v>2796</v>
      </c>
      <c r="B517" s="2" t="s">
        <v>3</v>
      </c>
      <c r="C517" s="2" t="s">
        <v>2205</v>
      </c>
      <c r="D517" s="2" t="s">
        <v>2797</v>
      </c>
      <c r="E517" s="2" t="s">
        <v>2798</v>
      </c>
      <c r="F517" s="2" t="s">
        <v>2726</v>
      </c>
      <c r="G517" s="2" t="s">
        <v>2727</v>
      </c>
      <c r="H517" s="2" t="s">
        <v>2720</v>
      </c>
      <c r="I517" s="2" t="s">
        <v>2721</v>
      </c>
      <c r="J517" s="2" t="s">
        <v>0</v>
      </c>
      <c r="K517" s="2" t="s">
        <v>0</v>
      </c>
      <c r="L517" s="2" t="s">
        <v>2661</v>
      </c>
      <c r="M517" s="2" t="s">
        <v>2662</v>
      </c>
      <c r="N517" s="2" t="s">
        <v>12</v>
      </c>
      <c r="O517" s="2" t="s">
        <v>13</v>
      </c>
      <c r="P517" s="2" t="s">
        <v>14</v>
      </c>
      <c r="Q517" s="2" t="s">
        <v>52</v>
      </c>
      <c r="R517" s="2" t="s">
        <v>2739</v>
      </c>
      <c r="S517" s="2" t="s">
        <v>2767</v>
      </c>
      <c r="T517" s="2" t="s">
        <v>18</v>
      </c>
      <c r="U517" s="2" t="s">
        <v>0</v>
      </c>
    </row>
    <row r="518" spans="1:21">
      <c r="A518" s="2" t="s">
        <v>2799</v>
      </c>
      <c r="B518" s="2" t="s">
        <v>3</v>
      </c>
      <c r="C518" s="2" t="s">
        <v>2800</v>
      </c>
      <c r="D518" s="2" t="s">
        <v>2801</v>
      </c>
      <c r="E518" s="2" t="s">
        <v>2802</v>
      </c>
      <c r="F518" s="2" t="s">
        <v>2726</v>
      </c>
      <c r="G518" s="2" t="s">
        <v>2727</v>
      </c>
      <c r="H518" s="2" t="s">
        <v>2720</v>
      </c>
      <c r="I518" s="2" t="s">
        <v>2721</v>
      </c>
      <c r="J518" s="2" t="s">
        <v>0</v>
      </c>
      <c r="K518" s="2" t="s">
        <v>0</v>
      </c>
      <c r="L518" s="2" t="s">
        <v>2661</v>
      </c>
      <c r="M518" s="2" t="s">
        <v>2662</v>
      </c>
      <c r="N518" s="2" t="s">
        <v>12</v>
      </c>
      <c r="O518" s="2" t="s">
        <v>13</v>
      </c>
      <c r="P518" s="2" t="s">
        <v>14</v>
      </c>
      <c r="Q518" s="2" t="s">
        <v>52</v>
      </c>
      <c r="R518" s="2" t="s">
        <v>2739</v>
      </c>
      <c r="S518" s="2" t="s">
        <v>2751</v>
      </c>
      <c r="T518" s="2" t="s">
        <v>18</v>
      </c>
      <c r="U518" s="2" t="s">
        <v>0</v>
      </c>
    </row>
    <row r="519" spans="1:21">
      <c r="A519" s="2" t="s">
        <v>2803</v>
      </c>
      <c r="B519" s="2" t="s">
        <v>3</v>
      </c>
      <c r="C519" s="2" t="s">
        <v>2340</v>
      </c>
      <c r="D519" s="2" t="s">
        <v>2804</v>
      </c>
      <c r="E519" s="2" t="s">
        <v>2805</v>
      </c>
      <c r="F519" s="2" t="s">
        <v>2726</v>
      </c>
      <c r="G519" s="2" t="s">
        <v>2727</v>
      </c>
      <c r="H519" s="2" t="s">
        <v>2720</v>
      </c>
      <c r="I519" s="2" t="s">
        <v>2721</v>
      </c>
      <c r="J519" s="2" t="s">
        <v>0</v>
      </c>
      <c r="K519" s="2" t="s">
        <v>0</v>
      </c>
      <c r="L519" s="2" t="s">
        <v>2661</v>
      </c>
      <c r="M519" s="2" t="s">
        <v>2662</v>
      </c>
      <c r="N519" s="2" t="s">
        <v>12</v>
      </c>
      <c r="O519" s="2" t="s">
        <v>13</v>
      </c>
      <c r="P519" s="2" t="s">
        <v>14</v>
      </c>
      <c r="Q519" s="2" t="s">
        <v>52</v>
      </c>
      <c r="R519" s="2" t="s">
        <v>2728</v>
      </c>
      <c r="S519" s="2" t="s">
        <v>2806</v>
      </c>
      <c r="T519" s="2" t="s">
        <v>18</v>
      </c>
      <c r="U519" s="2" t="s">
        <v>0</v>
      </c>
    </row>
    <row r="520" spans="1:21">
      <c r="A520" s="2" t="s">
        <v>2807</v>
      </c>
      <c r="B520" s="2" t="s">
        <v>3</v>
      </c>
      <c r="C520" s="2" t="s">
        <v>241</v>
      </c>
      <c r="D520" s="2" t="s">
        <v>2808</v>
      </c>
      <c r="E520" s="2" t="s">
        <v>2809</v>
      </c>
      <c r="F520" s="2" t="s">
        <v>2726</v>
      </c>
      <c r="G520" s="2" t="s">
        <v>2727</v>
      </c>
      <c r="H520" s="2" t="s">
        <v>2720</v>
      </c>
      <c r="I520" s="2" t="s">
        <v>2721</v>
      </c>
      <c r="J520" s="2" t="s">
        <v>0</v>
      </c>
      <c r="K520" s="2" t="s">
        <v>0</v>
      </c>
      <c r="L520" s="2" t="s">
        <v>2661</v>
      </c>
      <c r="M520" s="2" t="s">
        <v>2662</v>
      </c>
      <c r="N520" s="2" t="s">
        <v>12</v>
      </c>
      <c r="O520" s="2" t="s">
        <v>13</v>
      </c>
      <c r="P520" s="2" t="s">
        <v>14</v>
      </c>
      <c r="Q520" s="2" t="s">
        <v>52</v>
      </c>
      <c r="R520" s="2" t="s">
        <v>2739</v>
      </c>
      <c r="S520" s="2" t="s">
        <v>2740</v>
      </c>
      <c r="T520" s="2" t="s">
        <v>18</v>
      </c>
      <c r="U520" s="2" t="s">
        <v>0</v>
      </c>
    </row>
    <row r="521" spans="1:21">
      <c r="A521" s="2" t="s">
        <v>2810</v>
      </c>
      <c r="B521" s="2" t="s">
        <v>46</v>
      </c>
      <c r="C521" s="2" t="s">
        <v>2811</v>
      </c>
      <c r="D521" s="2" t="s">
        <v>2812</v>
      </c>
      <c r="E521" s="2" t="s">
        <v>2813</v>
      </c>
      <c r="F521" s="2" t="s">
        <v>7</v>
      </c>
      <c r="G521" s="2" t="s">
        <v>8</v>
      </c>
      <c r="H521" s="2" t="s">
        <v>2814</v>
      </c>
      <c r="I521" s="2" t="s">
        <v>0</v>
      </c>
      <c r="J521" s="2" t="s">
        <v>2815</v>
      </c>
      <c r="K521" s="2" t="s">
        <v>0</v>
      </c>
      <c r="L521" s="2" t="s">
        <v>2816</v>
      </c>
      <c r="M521" s="2" t="s">
        <v>2662</v>
      </c>
      <c r="N521" s="2" t="s">
        <v>12</v>
      </c>
      <c r="O521" s="2" t="s">
        <v>13</v>
      </c>
      <c r="P521" s="2" t="s">
        <v>149</v>
      </c>
      <c r="Q521" s="2" t="s">
        <v>150</v>
      </c>
      <c r="R521" s="2" t="s">
        <v>151</v>
      </c>
      <c r="S521" s="2" t="s">
        <v>17</v>
      </c>
      <c r="T521" s="2" t="s">
        <v>18</v>
      </c>
      <c r="U521" s="2" t="s">
        <v>2817</v>
      </c>
    </row>
    <row r="522" spans="1:21">
      <c r="A522" s="2" t="s">
        <v>2818</v>
      </c>
      <c r="B522" s="2" t="s">
        <v>3</v>
      </c>
      <c r="C522" s="2" t="s">
        <v>2819</v>
      </c>
      <c r="D522" s="2" t="s">
        <v>2820</v>
      </c>
      <c r="E522" s="2" t="s">
        <v>2821</v>
      </c>
      <c r="F522" s="2" t="s">
        <v>7</v>
      </c>
      <c r="G522" s="2" t="s">
        <v>8</v>
      </c>
      <c r="H522" s="2" t="s">
        <v>2822</v>
      </c>
      <c r="I522" s="2" t="s">
        <v>0</v>
      </c>
      <c r="J522" s="2" t="s">
        <v>2823</v>
      </c>
      <c r="K522" s="2" t="s">
        <v>2660</v>
      </c>
      <c r="L522" s="2" t="s">
        <v>2661</v>
      </c>
      <c r="M522" s="2" t="s">
        <v>2662</v>
      </c>
      <c r="N522" s="2" t="s">
        <v>12</v>
      </c>
      <c r="O522" s="2" t="s">
        <v>0</v>
      </c>
      <c r="P522" s="2" t="s">
        <v>14</v>
      </c>
      <c r="Q522" s="2" t="s">
        <v>52</v>
      </c>
      <c r="R522" s="2" t="s">
        <v>702</v>
      </c>
      <c r="S522" s="2" t="s">
        <v>17</v>
      </c>
      <c r="T522" s="2" t="s">
        <v>18</v>
      </c>
      <c r="U522" s="2" t="s">
        <v>0</v>
      </c>
    </row>
    <row r="523" spans="1:21">
      <c r="A523" s="2" t="s">
        <v>2824</v>
      </c>
      <c r="B523" s="2" t="s">
        <v>27</v>
      </c>
      <c r="C523" s="2" t="s">
        <v>2825</v>
      </c>
      <c r="D523" s="2" t="s">
        <v>2826</v>
      </c>
      <c r="E523" s="2" t="s">
        <v>2827</v>
      </c>
      <c r="F523" s="2" t="s">
        <v>2828</v>
      </c>
      <c r="G523" s="2" t="s">
        <v>2829</v>
      </c>
      <c r="H523" s="2" t="s">
        <v>2830</v>
      </c>
      <c r="I523" s="2" t="s">
        <v>0</v>
      </c>
      <c r="J523" s="2" t="s">
        <v>2831</v>
      </c>
      <c r="K523" s="2" t="s">
        <v>0</v>
      </c>
      <c r="L523" s="2" t="s">
        <v>2661</v>
      </c>
      <c r="M523" s="2" t="s">
        <v>2662</v>
      </c>
      <c r="N523" s="2" t="s">
        <v>12</v>
      </c>
      <c r="O523" s="2" t="s">
        <v>13</v>
      </c>
      <c r="P523" s="2" t="s">
        <v>14</v>
      </c>
      <c r="Q523" s="2" t="s">
        <v>819</v>
      </c>
      <c r="R523" s="2" t="s">
        <v>820</v>
      </c>
      <c r="S523" s="2" t="s">
        <v>17</v>
      </c>
      <c r="T523" s="2" t="s">
        <v>35</v>
      </c>
      <c r="U523" s="2" t="s">
        <v>0</v>
      </c>
    </row>
    <row r="524" spans="1:21">
      <c r="A524" s="2" t="s">
        <v>2832</v>
      </c>
      <c r="B524" s="2" t="s">
        <v>27</v>
      </c>
      <c r="C524" s="2" t="s">
        <v>2833</v>
      </c>
      <c r="D524" s="2" t="s">
        <v>2834</v>
      </c>
      <c r="E524" s="2" t="s">
        <v>2835</v>
      </c>
      <c r="F524" s="2" t="s">
        <v>2828</v>
      </c>
      <c r="G524" s="2" t="s">
        <v>2829</v>
      </c>
      <c r="H524" s="2" t="s">
        <v>2830</v>
      </c>
      <c r="I524" s="2" t="s">
        <v>0</v>
      </c>
      <c r="J524" s="2" t="s">
        <v>2831</v>
      </c>
      <c r="K524" s="2" t="s">
        <v>0</v>
      </c>
      <c r="L524" s="2" t="s">
        <v>2661</v>
      </c>
      <c r="M524" s="2" t="s">
        <v>2662</v>
      </c>
      <c r="N524" s="2" t="s">
        <v>12</v>
      </c>
      <c r="O524" s="2" t="s">
        <v>13</v>
      </c>
      <c r="P524" s="2" t="s">
        <v>14</v>
      </c>
      <c r="Q524" s="2" t="s">
        <v>819</v>
      </c>
      <c r="R524" s="2" t="s">
        <v>820</v>
      </c>
      <c r="S524" s="2" t="s">
        <v>17</v>
      </c>
      <c r="T524" s="2" t="s">
        <v>35</v>
      </c>
      <c r="U524" s="2" t="s">
        <v>0</v>
      </c>
    </row>
    <row r="525" spans="1:21">
      <c r="A525" s="2" t="s">
        <v>2836</v>
      </c>
      <c r="B525" s="2" t="s">
        <v>27</v>
      </c>
      <c r="C525" s="2" t="s">
        <v>2837</v>
      </c>
      <c r="D525" s="2" t="s">
        <v>2838</v>
      </c>
      <c r="E525" s="2" t="s">
        <v>2839</v>
      </c>
      <c r="F525" s="2" t="s">
        <v>2840</v>
      </c>
      <c r="G525" s="2" t="s">
        <v>2841</v>
      </c>
      <c r="H525" s="2" t="s">
        <v>2830</v>
      </c>
      <c r="I525" s="2" t="s">
        <v>0</v>
      </c>
      <c r="J525" s="2" t="s">
        <v>2831</v>
      </c>
      <c r="K525" s="2" t="s">
        <v>0</v>
      </c>
      <c r="L525" s="2" t="s">
        <v>2661</v>
      </c>
      <c r="M525" s="2" t="s">
        <v>2662</v>
      </c>
      <c r="N525" s="2" t="s">
        <v>12</v>
      </c>
      <c r="O525" s="2" t="s">
        <v>13</v>
      </c>
      <c r="P525" s="2" t="s">
        <v>14</v>
      </c>
      <c r="Q525" s="2" t="s">
        <v>52</v>
      </c>
      <c r="R525" s="2" t="s">
        <v>53</v>
      </c>
      <c r="S525" s="2" t="s">
        <v>17</v>
      </c>
      <c r="T525" s="2" t="s">
        <v>35</v>
      </c>
      <c r="U525" s="2" t="s">
        <v>2842</v>
      </c>
    </row>
    <row r="526" spans="1:21">
      <c r="A526" s="2" t="s">
        <v>2843</v>
      </c>
      <c r="B526" s="2" t="s">
        <v>27</v>
      </c>
      <c r="C526" s="2" t="s">
        <v>2844</v>
      </c>
      <c r="D526" s="2" t="s">
        <v>2845</v>
      </c>
      <c r="E526" s="2" t="s">
        <v>2846</v>
      </c>
      <c r="F526" s="2" t="s">
        <v>2828</v>
      </c>
      <c r="G526" s="2" t="s">
        <v>2847</v>
      </c>
      <c r="H526" s="2" t="s">
        <v>2830</v>
      </c>
      <c r="I526" s="2" t="s">
        <v>0</v>
      </c>
      <c r="J526" s="2" t="s">
        <v>2831</v>
      </c>
      <c r="K526" s="2" t="s">
        <v>0</v>
      </c>
      <c r="L526" s="2" t="s">
        <v>2661</v>
      </c>
      <c r="M526" s="2" t="s">
        <v>2662</v>
      </c>
      <c r="N526" s="2" t="s">
        <v>12</v>
      </c>
      <c r="O526" s="2" t="s">
        <v>13</v>
      </c>
      <c r="P526" s="2" t="s">
        <v>14</v>
      </c>
      <c r="Q526" s="2" t="s">
        <v>52</v>
      </c>
      <c r="R526" s="2" t="s">
        <v>53</v>
      </c>
      <c r="S526" s="2" t="s">
        <v>17</v>
      </c>
      <c r="T526" s="2" t="s">
        <v>35</v>
      </c>
      <c r="U526" s="2" t="s">
        <v>0</v>
      </c>
    </row>
    <row r="527" spans="1:21">
      <c r="A527" s="2" t="s">
        <v>2848</v>
      </c>
      <c r="B527" s="2" t="s">
        <v>27</v>
      </c>
      <c r="C527" s="2" t="s">
        <v>2849</v>
      </c>
      <c r="D527" s="2" t="s">
        <v>2850</v>
      </c>
      <c r="E527" s="2" t="s">
        <v>2851</v>
      </c>
      <c r="F527" s="2" t="s">
        <v>2828</v>
      </c>
      <c r="G527" s="2" t="s">
        <v>2829</v>
      </c>
      <c r="H527" s="2" t="s">
        <v>2830</v>
      </c>
      <c r="I527" s="2" t="s">
        <v>0</v>
      </c>
      <c r="J527" s="2" t="s">
        <v>2831</v>
      </c>
      <c r="K527" s="2" t="s">
        <v>0</v>
      </c>
      <c r="L527" s="2" t="s">
        <v>2661</v>
      </c>
      <c r="M527" s="2" t="s">
        <v>2662</v>
      </c>
      <c r="N527" s="2" t="s">
        <v>12</v>
      </c>
      <c r="O527" s="2" t="s">
        <v>13</v>
      </c>
      <c r="P527" s="2" t="s">
        <v>14</v>
      </c>
      <c r="Q527" s="2" t="s">
        <v>52</v>
      </c>
      <c r="R527" s="2" t="s">
        <v>53</v>
      </c>
      <c r="S527" s="2" t="s">
        <v>17</v>
      </c>
      <c r="T527" s="2" t="s">
        <v>35</v>
      </c>
      <c r="U527" s="2" t="s">
        <v>0</v>
      </c>
    </row>
    <row r="528" spans="1:21">
      <c r="A528" s="2" t="s">
        <v>2852</v>
      </c>
      <c r="B528" s="2" t="s">
        <v>27</v>
      </c>
      <c r="C528" s="2" t="s">
        <v>2853</v>
      </c>
      <c r="D528" s="2" t="s">
        <v>2854</v>
      </c>
      <c r="E528" s="2" t="s">
        <v>2855</v>
      </c>
      <c r="F528" s="2" t="s">
        <v>2856</v>
      </c>
      <c r="G528" s="2" t="s">
        <v>2857</v>
      </c>
      <c r="H528" s="2" t="s">
        <v>2858</v>
      </c>
      <c r="I528" s="2" t="s">
        <v>0</v>
      </c>
      <c r="J528" s="2" t="s">
        <v>0</v>
      </c>
      <c r="K528" s="2" t="s">
        <v>0</v>
      </c>
      <c r="L528" s="2" t="s">
        <v>0</v>
      </c>
      <c r="M528" s="2" t="s">
        <v>2662</v>
      </c>
      <c r="N528" s="2" t="s">
        <v>12</v>
      </c>
      <c r="O528" s="2" t="s">
        <v>13</v>
      </c>
      <c r="P528" s="2" t="s">
        <v>14</v>
      </c>
      <c r="Q528" s="2" t="s">
        <v>1018</v>
      </c>
      <c r="R528" s="2" t="s">
        <v>16</v>
      </c>
      <c r="S528" s="2" t="s">
        <v>17</v>
      </c>
      <c r="T528" s="2" t="s">
        <v>35</v>
      </c>
      <c r="U528" s="2" t="s">
        <v>0</v>
      </c>
    </row>
    <row r="529" spans="1:21">
      <c r="A529" s="2" t="s">
        <v>2859</v>
      </c>
      <c r="B529" s="2" t="s">
        <v>3</v>
      </c>
      <c r="C529" s="2" t="s">
        <v>2860</v>
      </c>
      <c r="D529" s="2" t="s">
        <v>2861</v>
      </c>
      <c r="E529" s="2" t="s">
        <v>2862</v>
      </c>
      <c r="F529" s="2" t="s">
        <v>203</v>
      </c>
      <c r="G529" s="2" t="s">
        <v>204</v>
      </c>
      <c r="H529" s="2" t="s">
        <v>2863</v>
      </c>
      <c r="I529" s="2" t="s">
        <v>0</v>
      </c>
      <c r="J529" s="2" t="s">
        <v>0</v>
      </c>
      <c r="K529" s="2" t="s">
        <v>0</v>
      </c>
      <c r="L529" s="2" t="s">
        <v>0</v>
      </c>
      <c r="M529" s="2" t="s">
        <v>0</v>
      </c>
      <c r="N529" s="2" t="s">
        <v>12</v>
      </c>
      <c r="O529" s="2" t="s">
        <v>82</v>
      </c>
      <c r="P529" s="2" t="s">
        <v>14</v>
      </c>
      <c r="Q529" s="2" t="s">
        <v>1346</v>
      </c>
      <c r="R529" s="2" t="s">
        <v>1976</v>
      </c>
      <c r="S529" s="2" t="s">
        <v>17</v>
      </c>
      <c r="T529" s="2" t="s">
        <v>18</v>
      </c>
      <c r="U529" s="2" t="s">
        <v>2864</v>
      </c>
    </row>
    <row r="530" spans="1:21">
      <c r="A530" s="2" t="s">
        <v>2865</v>
      </c>
      <c r="B530" s="2" t="s">
        <v>27</v>
      </c>
      <c r="C530" s="2" t="s">
        <v>2866</v>
      </c>
      <c r="D530" s="2" t="s">
        <v>2867</v>
      </c>
      <c r="E530" s="2" t="s">
        <v>2868</v>
      </c>
      <c r="F530" s="2" t="s">
        <v>2869</v>
      </c>
      <c r="G530" s="2" t="s">
        <v>2870</v>
      </c>
      <c r="H530" s="2" t="s">
        <v>2863</v>
      </c>
      <c r="I530" s="2" t="s">
        <v>0</v>
      </c>
      <c r="J530" s="2" t="s">
        <v>0</v>
      </c>
      <c r="K530" s="2" t="s">
        <v>0</v>
      </c>
      <c r="L530" s="2" t="s">
        <v>0</v>
      </c>
      <c r="M530" s="2" t="s">
        <v>0</v>
      </c>
      <c r="N530" s="2" t="s">
        <v>12</v>
      </c>
      <c r="O530" s="2" t="s">
        <v>82</v>
      </c>
      <c r="P530" s="2" t="s">
        <v>14</v>
      </c>
      <c r="Q530" s="2" t="s">
        <v>1346</v>
      </c>
      <c r="R530" s="2" t="s">
        <v>16</v>
      </c>
      <c r="S530" s="2" t="s">
        <v>17</v>
      </c>
      <c r="T530" s="2" t="s">
        <v>35</v>
      </c>
      <c r="U530" s="2" t="s">
        <v>0</v>
      </c>
    </row>
    <row r="531" spans="1:21">
      <c r="A531" s="2" t="s">
        <v>2871</v>
      </c>
      <c r="B531" s="2" t="s">
        <v>27</v>
      </c>
      <c r="C531" s="2" t="s">
        <v>1394</v>
      </c>
      <c r="D531" s="2" t="s">
        <v>2872</v>
      </c>
      <c r="E531" s="2" t="s">
        <v>2873</v>
      </c>
      <c r="F531" s="2" t="s">
        <v>2874</v>
      </c>
      <c r="G531" s="2" t="s">
        <v>2875</v>
      </c>
      <c r="H531" s="2" t="s">
        <v>2876</v>
      </c>
      <c r="I531" s="2" t="s">
        <v>2877</v>
      </c>
      <c r="J531" s="2" t="s">
        <v>0</v>
      </c>
      <c r="K531" s="2" t="s">
        <v>2660</v>
      </c>
      <c r="L531" s="2" t="s">
        <v>2661</v>
      </c>
      <c r="M531" s="2" t="s">
        <v>2662</v>
      </c>
      <c r="N531" s="2" t="s">
        <v>12</v>
      </c>
      <c r="O531" s="2" t="s">
        <v>0</v>
      </c>
      <c r="P531" s="2" t="s">
        <v>14</v>
      </c>
      <c r="Q531" s="2" t="s">
        <v>52</v>
      </c>
      <c r="R531" s="2" t="s">
        <v>2739</v>
      </c>
      <c r="S531" s="2" t="s">
        <v>2878</v>
      </c>
      <c r="T531" s="2" t="s">
        <v>35</v>
      </c>
      <c r="U531" s="2" t="s">
        <v>0</v>
      </c>
    </row>
    <row r="532" spans="1:21">
      <c r="A532" s="2" t="s">
        <v>2879</v>
      </c>
      <c r="B532" s="2" t="s">
        <v>27</v>
      </c>
      <c r="C532" s="2" t="s">
        <v>2880</v>
      </c>
      <c r="D532" s="2" t="s">
        <v>2881</v>
      </c>
      <c r="E532" s="2" t="s">
        <v>2882</v>
      </c>
      <c r="F532" s="2" t="s">
        <v>2874</v>
      </c>
      <c r="G532" s="2" t="s">
        <v>2875</v>
      </c>
      <c r="H532" s="2" t="s">
        <v>2876</v>
      </c>
      <c r="I532" s="2" t="s">
        <v>2877</v>
      </c>
      <c r="J532" s="2" t="s">
        <v>0</v>
      </c>
      <c r="K532" s="2" t="s">
        <v>2660</v>
      </c>
      <c r="L532" s="2" t="s">
        <v>2661</v>
      </c>
      <c r="M532" s="2" t="s">
        <v>2662</v>
      </c>
      <c r="N532" s="2" t="s">
        <v>12</v>
      </c>
      <c r="O532" s="2" t="s">
        <v>0</v>
      </c>
      <c r="P532" s="2" t="s">
        <v>14</v>
      </c>
      <c r="Q532" s="2" t="s">
        <v>52</v>
      </c>
      <c r="R532" s="2" t="s">
        <v>2739</v>
      </c>
      <c r="S532" s="2" t="s">
        <v>2883</v>
      </c>
      <c r="T532" s="2" t="s">
        <v>35</v>
      </c>
      <c r="U532" s="2" t="s">
        <v>0</v>
      </c>
    </row>
    <row r="533" spans="1:21">
      <c r="A533" s="2" t="s">
        <v>2884</v>
      </c>
      <c r="B533" s="2" t="s">
        <v>27</v>
      </c>
      <c r="C533" s="2" t="s">
        <v>2885</v>
      </c>
      <c r="D533" s="2" t="s">
        <v>2886</v>
      </c>
      <c r="E533" s="2" t="s">
        <v>2887</v>
      </c>
      <c r="F533" s="2" t="s">
        <v>2874</v>
      </c>
      <c r="G533" s="2" t="s">
        <v>2875</v>
      </c>
      <c r="H533" s="2" t="s">
        <v>2876</v>
      </c>
      <c r="I533" s="2" t="s">
        <v>2877</v>
      </c>
      <c r="J533" s="2" t="s">
        <v>0</v>
      </c>
      <c r="K533" s="2" t="s">
        <v>2660</v>
      </c>
      <c r="L533" s="2" t="s">
        <v>2661</v>
      </c>
      <c r="M533" s="2" t="s">
        <v>2662</v>
      </c>
      <c r="N533" s="2" t="s">
        <v>12</v>
      </c>
      <c r="O533" s="2" t="s">
        <v>0</v>
      </c>
      <c r="P533" s="2" t="s">
        <v>14</v>
      </c>
      <c r="Q533" s="2" t="s">
        <v>52</v>
      </c>
      <c r="R533" s="2" t="s">
        <v>2739</v>
      </c>
      <c r="S533" s="2" t="s">
        <v>2888</v>
      </c>
      <c r="T533" s="2" t="s">
        <v>35</v>
      </c>
      <c r="U533" s="2" t="s">
        <v>0</v>
      </c>
    </row>
    <row r="534" spans="1:21">
      <c r="A534" s="2" t="s">
        <v>2889</v>
      </c>
      <c r="B534" s="2" t="s">
        <v>27</v>
      </c>
      <c r="C534" s="2" t="s">
        <v>730</v>
      </c>
      <c r="D534" s="2" t="s">
        <v>2890</v>
      </c>
      <c r="E534" s="2" t="s">
        <v>2891</v>
      </c>
      <c r="F534" s="2" t="s">
        <v>2874</v>
      </c>
      <c r="G534" s="2" t="s">
        <v>2875</v>
      </c>
      <c r="H534" s="2" t="s">
        <v>2876</v>
      </c>
      <c r="I534" s="2" t="s">
        <v>2877</v>
      </c>
      <c r="J534" s="2" t="s">
        <v>0</v>
      </c>
      <c r="K534" s="2" t="s">
        <v>2660</v>
      </c>
      <c r="L534" s="2" t="s">
        <v>2661</v>
      </c>
      <c r="M534" s="2" t="s">
        <v>2662</v>
      </c>
      <c r="N534" s="2" t="s">
        <v>12</v>
      </c>
      <c r="O534" s="2" t="s">
        <v>0</v>
      </c>
      <c r="P534" s="2" t="s">
        <v>14</v>
      </c>
      <c r="Q534" s="2" t="s">
        <v>52</v>
      </c>
      <c r="R534" s="2" t="s">
        <v>2739</v>
      </c>
      <c r="S534" s="2" t="s">
        <v>2888</v>
      </c>
      <c r="T534" s="2" t="s">
        <v>35</v>
      </c>
      <c r="U534" s="2" t="s">
        <v>0</v>
      </c>
    </row>
    <row r="535" spans="1:21">
      <c r="A535" s="2" t="s">
        <v>2892</v>
      </c>
      <c r="B535" s="2" t="s">
        <v>27</v>
      </c>
      <c r="C535" s="2" t="s">
        <v>2893</v>
      </c>
      <c r="D535" s="2" t="s">
        <v>2894</v>
      </c>
      <c r="E535" s="2" t="s">
        <v>2895</v>
      </c>
      <c r="F535" s="2" t="s">
        <v>2896</v>
      </c>
      <c r="G535" s="2" t="s">
        <v>2897</v>
      </c>
      <c r="H535" s="2" t="s">
        <v>2876</v>
      </c>
      <c r="I535" s="2" t="s">
        <v>2877</v>
      </c>
      <c r="J535" s="2" t="s">
        <v>0</v>
      </c>
      <c r="K535" s="2" t="s">
        <v>2660</v>
      </c>
      <c r="L535" s="2" t="s">
        <v>2661</v>
      </c>
      <c r="M535" s="2" t="s">
        <v>2662</v>
      </c>
      <c r="N535" s="2" t="s">
        <v>12</v>
      </c>
      <c r="O535" s="2" t="s">
        <v>0</v>
      </c>
      <c r="P535" s="2" t="s">
        <v>14</v>
      </c>
      <c r="Q535" s="2" t="s">
        <v>52</v>
      </c>
      <c r="R535" s="2" t="s">
        <v>53</v>
      </c>
      <c r="S535" s="2" t="s">
        <v>17</v>
      </c>
      <c r="T535" s="2" t="s">
        <v>35</v>
      </c>
      <c r="U535" s="2" t="s">
        <v>2898</v>
      </c>
    </row>
    <row r="536" spans="1:21">
      <c r="A536" s="2" t="s">
        <v>2899</v>
      </c>
      <c r="B536" s="2" t="s">
        <v>27</v>
      </c>
      <c r="C536" s="2" t="s">
        <v>2900</v>
      </c>
      <c r="D536" s="2" t="s">
        <v>2901</v>
      </c>
      <c r="E536" s="2" t="s">
        <v>2902</v>
      </c>
      <c r="F536" s="2" t="s">
        <v>2874</v>
      </c>
      <c r="G536" s="2" t="s">
        <v>2875</v>
      </c>
      <c r="H536" s="2" t="s">
        <v>2876</v>
      </c>
      <c r="I536" s="2" t="s">
        <v>2877</v>
      </c>
      <c r="J536" s="2" t="s">
        <v>0</v>
      </c>
      <c r="K536" s="2" t="s">
        <v>2660</v>
      </c>
      <c r="L536" s="2" t="s">
        <v>2661</v>
      </c>
      <c r="M536" s="2" t="s">
        <v>2662</v>
      </c>
      <c r="N536" s="2" t="s">
        <v>12</v>
      </c>
      <c r="O536" s="2" t="s">
        <v>0</v>
      </c>
      <c r="P536" s="2" t="s">
        <v>14</v>
      </c>
      <c r="Q536" s="2" t="s">
        <v>52</v>
      </c>
      <c r="R536" s="2" t="s">
        <v>2739</v>
      </c>
      <c r="S536" s="2" t="s">
        <v>2883</v>
      </c>
      <c r="T536" s="2" t="s">
        <v>35</v>
      </c>
      <c r="U536" s="2" t="s">
        <v>0</v>
      </c>
    </row>
    <row r="537" spans="1:21">
      <c r="A537" s="2" t="s">
        <v>2903</v>
      </c>
      <c r="B537" s="2" t="s">
        <v>27</v>
      </c>
      <c r="C537" s="2" t="s">
        <v>2904</v>
      </c>
      <c r="D537" s="2" t="s">
        <v>2905</v>
      </c>
      <c r="E537" s="2" t="s">
        <v>2906</v>
      </c>
      <c r="F537" s="2" t="s">
        <v>2874</v>
      </c>
      <c r="G537" s="2" t="s">
        <v>2875</v>
      </c>
      <c r="H537" s="2" t="s">
        <v>2876</v>
      </c>
      <c r="I537" s="2" t="s">
        <v>2877</v>
      </c>
      <c r="J537" s="2" t="s">
        <v>0</v>
      </c>
      <c r="K537" s="2" t="s">
        <v>2660</v>
      </c>
      <c r="L537" s="2" t="s">
        <v>2661</v>
      </c>
      <c r="M537" s="2" t="s">
        <v>2662</v>
      </c>
      <c r="N537" s="2" t="s">
        <v>12</v>
      </c>
      <c r="O537" s="2" t="s">
        <v>0</v>
      </c>
      <c r="P537" s="2" t="s">
        <v>14</v>
      </c>
      <c r="Q537" s="2" t="s">
        <v>52</v>
      </c>
      <c r="R537" s="2" t="s">
        <v>2739</v>
      </c>
      <c r="S537" s="2" t="s">
        <v>2878</v>
      </c>
      <c r="T537" s="2" t="s">
        <v>35</v>
      </c>
      <c r="U537" s="2" t="s">
        <v>0</v>
      </c>
    </row>
    <row r="538" spans="1:21">
      <c r="A538" s="2" t="s">
        <v>2907</v>
      </c>
      <c r="B538" s="2" t="s">
        <v>3</v>
      </c>
      <c r="C538" s="2" t="s">
        <v>2908</v>
      </c>
      <c r="D538" s="2" t="s">
        <v>2909</v>
      </c>
      <c r="E538" s="2" t="s">
        <v>2910</v>
      </c>
      <c r="F538" s="2" t="s">
        <v>7</v>
      </c>
      <c r="G538" s="2" t="s">
        <v>8</v>
      </c>
      <c r="H538" s="2" t="s">
        <v>2911</v>
      </c>
      <c r="I538" s="2" t="s">
        <v>0</v>
      </c>
      <c r="J538" s="2" t="s">
        <v>2912</v>
      </c>
      <c r="K538" s="2" t="s">
        <v>0</v>
      </c>
      <c r="L538" s="2" t="s">
        <v>2816</v>
      </c>
      <c r="M538" s="2" t="s">
        <v>2662</v>
      </c>
      <c r="N538" s="2" t="s">
        <v>12</v>
      </c>
      <c r="O538" s="2" t="s">
        <v>13</v>
      </c>
      <c r="P538" s="2" t="s">
        <v>14</v>
      </c>
      <c r="Q538" s="2" t="s">
        <v>156</v>
      </c>
      <c r="R538" s="2" t="s">
        <v>838</v>
      </c>
      <c r="S538" s="2" t="s">
        <v>17</v>
      </c>
      <c r="T538" s="2" t="s">
        <v>18</v>
      </c>
      <c r="U538" s="2" t="s">
        <v>2913</v>
      </c>
    </row>
    <row r="539" spans="1:21">
      <c r="A539" s="2" t="s">
        <v>2914</v>
      </c>
      <c r="B539" s="2" t="s">
        <v>46</v>
      </c>
      <c r="C539" s="2" t="s">
        <v>2915</v>
      </c>
      <c r="D539" s="2" t="s">
        <v>2916</v>
      </c>
      <c r="E539" s="2" t="s">
        <v>2917</v>
      </c>
      <c r="F539" s="2" t="s">
        <v>7</v>
      </c>
      <c r="G539" s="2" t="s">
        <v>8</v>
      </c>
      <c r="H539" s="2" t="s">
        <v>2918</v>
      </c>
      <c r="I539" s="2" t="s">
        <v>0</v>
      </c>
      <c r="J539" s="2" t="s">
        <v>2919</v>
      </c>
      <c r="K539" s="2" t="s">
        <v>0</v>
      </c>
      <c r="L539" s="2" t="s">
        <v>2661</v>
      </c>
      <c r="M539" s="2" t="s">
        <v>2662</v>
      </c>
      <c r="N539" s="2" t="s">
        <v>12</v>
      </c>
      <c r="O539" s="2" t="s">
        <v>13</v>
      </c>
      <c r="P539" s="2" t="s">
        <v>14</v>
      </c>
      <c r="Q539" s="2" t="s">
        <v>819</v>
      </c>
      <c r="R539" s="2" t="s">
        <v>820</v>
      </c>
      <c r="S539" s="2" t="s">
        <v>17</v>
      </c>
      <c r="T539" s="2" t="s">
        <v>18</v>
      </c>
      <c r="U539" s="2" t="s">
        <v>0</v>
      </c>
    </row>
    <row r="540" spans="1:21">
      <c r="A540" s="2" t="s">
        <v>2920</v>
      </c>
      <c r="B540" s="2" t="s">
        <v>27</v>
      </c>
      <c r="C540" s="2" t="s">
        <v>2921</v>
      </c>
      <c r="D540" s="2" t="s">
        <v>2922</v>
      </c>
      <c r="E540" s="2" t="s">
        <v>2923</v>
      </c>
      <c r="F540" s="2" t="s">
        <v>2924</v>
      </c>
      <c r="G540" s="2" t="s">
        <v>2925</v>
      </c>
      <c r="H540" s="2" t="s">
        <v>2918</v>
      </c>
      <c r="I540" s="2" t="s">
        <v>0</v>
      </c>
      <c r="J540" s="2" t="s">
        <v>2919</v>
      </c>
      <c r="K540" s="2" t="s">
        <v>0</v>
      </c>
      <c r="L540" s="2" t="s">
        <v>2661</v>
      </c>
      <c r="M540" s="2" t="s">
        <v>2662</v>
      </c>
      <c r="N540" s="2" t="s">
        <v>12</v>
      </c>
      <c r="O540" s="2" t="s">
        <v>13</v>
      </c>
      <c r="P540" s="2" t="s">
        <v>14</v>
      </c>
      <c r="Q540" s="2" t="s">
        <v>819</v>
      </c>
      <c r="R540" s="2" t="s">
        <v>820</v>
      </c>
      <c r="S540" s="2" t="s">
        <v>17</v>
      </c>
      <c r="T540" s="2" t="s">
        <v>35</v>
      </c>
      <c r="U540" s="2" t="s">
        <v>2926</v>
      </c>
    </row>
    <row r="541" spans="1:21" ht="52.8">
      <c r="A541" s="5" t="s">
        <v>2927</v>
      </c>
      <c r="B541" s="5" t="s">
        <v>2928</v>
      </c>
      <c r="C541" s="5" t="s">
        <v>2929</v>
      </c>
      <c r="D541" s="5" t="s">
        <v>2930</v>
      </c>
      <c r="E541" s="5" t="s">
        <v>2931</v>
      </c>
      <c r="F541" s="5" t="s">
        <v>2932</v>
      </c>
      <c r="G541" s="5" t="s">
        <v>2933</v>
      </c>
      <c r="H541" s="5" t="s">
        <v>2934</v>
      </c>
      <c r="I541" s="10" t="s">
        <v>2935</v>
      </c>
      <c r="J541" s="10" t="s">
        <v>2936</v>
      </c>
      <c r="K541" s="10" t="s">
        <v>2937</v>
      </c>
      <c r="L541" s="10" t="s">
        <v>2938</v>
      </c>
      <c r="M541" s="10" t="s">
        <v>2939</v>
      </c>
      <c r="N541" s="10" t="s">
        <v>2940</v>
      </c>
      <c r="O541" s="10" t="s">
        <v>2941</v>
      </c>
      <c r="P541" s="12" t="s">
        <v>2942</v>
      </c>
      <c r="Q541" s="12" t="s">
        <v>2943</v>
      </c>
      <c r="R541" s="12" t="s">
        <v>2944</v>
      </c>
      <c r="S541" s="12" t="s">
        <v>2945</v>
      </c>
      <c r="T541" s="5" t="s">
        <v>2946</v>
      </c>
      <c r="U541" s="5" t="s">
        <v>2947</v>
      </c>
    </row>
    <row r="542" spans="1:21">
      <c r="A542" s="2" t="s">
        <v>2948</v>
      </c>
      <c r="B542" s="2" t="s">
        <v>27</v>
      </c>
      <c r="C542" s="2" t="s">
        <v>2949</v>
      </c>
      <c r="D542" s="2" t="s">
        <v>2950</v>
      </c>
      <c r="E542" s="2" t="s">
        <v>2951</v>
      </c>
      <c r="F542" s="2" t="s">
        <v>2952</v>
      </c>
      <c r="G542" s="2" t="s">
        <v>2953</v>
      </c>
      <c r="H542" s="2" t="s">
        <v>2954</v>
      </c>
      <c r="I542" s="2" t="s">
        <v>0</v>
      </c>
      <c r="J542" s="2" t="s">
        <v>2955</v>
      </c>
      <c r="K542" s="2" t="s">
        <v>0</v>
      </c>
      <c r="L542" s="2" t="s">
        <v>0</v>
      </c>
      <c r="M542" s="2" t="s">
        <v>2662</v>
      </c>
      <c r="N542" s="2" t="s">
        <v>12</v>
      </c>
      <c r="O542" s="2" t="s">
        <v>13</v>
      </c>
      <c r="P542" s="2" t="s">
        <v>14</v>
      </c>
      <c r="Q542" s="2" t="s">
        <v>2956</v>
      </c>
      <c r="R542" s="2" t="s">
        <v>16</v>
      </c>
      <c r="S542" s="2" t="s">
        <v>17</v>
      </c>
      <c r="T542" s="2" t="s">
        <v>35</v>
      </c>
      <c r="U542" s="2" t="s">
        <v>2957</v>
      </c>
    </row>
    <row r="543" spans="1:21">
      <c r="A543" s="2" t="s">
        <v>2958</v>
      </c>
      <c r="B543" s="2" t="s">
        <v>27</v>
      </c>
      <c r="C543" s="2" t="s">
        <v>2959</v>
      </c>
      <c r="D543" s="2" t="s">
        <v>2960</v>
      </c>
      <c r="E543" s="2" t="s">
        <v>2961</v>
      </c>
      <c r="F543" s="2" t="s">
        <v>2962</v>
      </c>
      <c r="G543" s="2" t="s">
        <v>2963</v>
      </c>
      <c r="H543" s="2" t="s">
        <v>2954</v>
      </c>
      <c r="I543" s="2" t="s">
        <v>0</v>
      </c>
      <c r="J543" s="2" t="s">
        <v>2955</v>
      </c>
      <c r="K543" s="2" t="s">
        <v>0</v>
      </c>
      <c r="L543" s="2" t="s">
        <v>0</v>
      </c>
      <c r="M543" s="2" t="s">
        <v>2662</v>
      </c>
      <c r="N543" s="2" t="s">
        <v>12</v>
      </c>
      <c r="O543" s="2" t="s">
        <v>13</v>
      </c>
      <c r="P543" s="2" t="s">
        <v>14</v>
      </c>
      <c r="Q543" s="2" t="s">
        <v>2956</v>
      </c>
      <c r="R543" s="2" t="s">
        <v>53</v>
      </c>
      <c r="S543" s="2" t="s">
        <v>17</v>
      </c>
      <c r="T543" s="2" t="s">
        <v>35</v>
      </c>
      <c r="U543" s="2" t="s">
        <v>2964</v>
      </c>
    </row>
    <row r="544" spans="1:21">
      <c r="A544" s="2" t="s">
        <v>2965</v>
      </c>
      <c r="B544" s="2" t="s">
        <v>27</v>
      </c>
      <c r="C544" s="2" t="s">
        <v>2966</v>
      </c>
      <c r="D544" s="2" t="s">
        <v>1517</v>
      </c>
      <c r="E544" s="2" t="s">
        <v>2967</v>
      </c>
      <c r="F544" s="2" t="s">
        <v>2968</v>
      </c>
      <c r="G544" s="2" t="s">
        <v>2969</v>
      </c>
      <c r="H544" s="2" t="s">
        <v>2970</v>
      </c>
      <c r="I544" s="2" t="s">
        <v>0</v>
      </c>
      <c r="J544" s="2" t="s">
        <v>0</v>
      </c>
      <c r="K544" s="2" t="s">
        <v>0</v>
      </c>
      <c r="L544" s="2" t="s">
        <v>0</v>
      </c>
      <c r="M544" s="2" t="s">
        <v>2662</v>
      </c>
      <c r="N544" s="2" t="s">
        <v>12</v>
      </c>
      <c r="O544" s="2" t="s">
        <v>13</v>
      </c>
      <c r="P544" s="2" t="s">
        <v>14</v>
      </c>
      <c r="Q544" s="2" t="s">
        <v>52</v>
      </c>
      <c r="R544" s="2" t="s">
        <v>53</v>
      </c>
      <c r="S544" s="2" t="s">
        <v>17</v>
      </c>
      <c r="T544" s="2" t="s">
        <v>35</v>
      </c>
      <c r="U544" s="2" t="s">
        <v>2971</v>
      </c>
    </row>
    <row r="545" spans="1:21">
      <c r="A545" s="2" t="s">
        <v>2972</v>
      </c>
      <c r="B545" s="2" t="s">
        <v>3</v>
      </c>
      <c r="C545" s="2" t="s">
        <v>2973</v>
      </c>
      <c r="D545" s="2" t="s">
        <v>2974</v>
      </c>
      <c r="E545" s="2" t="s">
        <v>2975</v>
      </c>
      <c r="F545" s="2" t="s">
        <v>203</v>
      </c>
      <c r="G545" s="2" t="s">
        <v>204</v>
      </c>
      <c r="H545" s="2" t="s">
        <v>2970</v>
      </c>
      <c r="I545" s="2" t="s">
        <v>0</v>
      </c>
      <c r="J545" s="2" t="s">
        <v>0</v>
      </c>
      <c r="K545" s="2" t="s">
        <v>0</v>
      </c>
      <c r="L545" s="2" t="s">
        <v>0</v>
      </c>
      <c r="M545" s="2" t="s">
        <v>2662</v>
      </c>
      <c r="N545" s="2" t="s">
        <v>12</v>
      </c>
      <c r="O545" s="2" t="s">
        <v>13</v>
      </c>
      <c r="P545" s="2" t="s">
        <v>14</v>
      </c>
      <c r="Q545" s="2" t="s">
        <v>52</v>
      </c>
      <c r="R545" s="2" t="s">
        <v>53</v>
      </c>
      <c r="S545" s="2" t="s">
        <v>17</v>
      </c>
      <c r="T545" s="2" t="s">
        <v>18</v>
      </c>
      <c r="U545" s="2" t="s">
        <v>0</v>
      </c>
    </row>
    <row r="546" spans="1:21">
      <c r="A546" s="2" t="s">
        <v>2976</v>
      </c>
      <c r="B546" s="2" t="s">
        <v>3</v>
      </c>
      <c r="C546" s="2" t="s">
        <v>2977</v>
      </c>
      <c r="D546" s="2" t="s">
        <v>2978</v>
      </c>
      <c r="E546" s="2" t="s">
        <v>2979</v>
      </c>
      <c r="F546" s="2" t="s">
        <v>7</v>
      </c>
      <c r="G546" s="2" t="s">
        <v>8</v>
      </c>
      <c r="H546" s="2" t="s">
        <v>2980</v>
      </c>
      <c r="I546" s="2" t="s">
        <v>0</v>
      </c>
      <c r="J546" s="2" t="s">
        <v>0</v>
      </c>
      <c r="K546" s="2" t="s">
        <v>2660</v>
      </c>
      <c r="L546" s="2" t="s">
        <v>2661</v>
      </c>
      <c r="M546" s="2" t="s">
        <v>2662</v>
      </c>
      <c r="N546" s="2" t="s">
        <v>12</v>
      </c>
      <c r="O546" s="2" t="s">
        <v>13</v>
      </c>
      <c r="P546" s="2" t="s">
        <v>14</v>
      </c>
      <c r="Q546" s="2" t="s">
        <v>52</v>
      </c>
      <c r="R546" s="2" t="s">
        <v>702</v>
      </c>
      <c r="S546" s="2" t="s">
        <v>17</v>
      </c>
      <c r="T546" s="2" t="s">
        <v>18</v>
      </c>
      <c r="U546" s="2" t="s">
        <v>0</v>
      </c>
    </row>
    <row r="547" spans="1:21">
      <c r="A547" s="2" t="s">
        <v>2981</v>
      </c>
      <c r="B547" s="2" t="s">
        <v>27</v>
      </c>
      <c r="C547" s="2" t="s">
        <v>2982</v>
      </c>
      <c r="D547" s="2" t="s">
        <v>2983</v>
      </c>
      <c r="E547" s="2" t="s">
        <v>2984</v>
      </c>
      <c r="F547" s="2" t="s">
        <v>2985</v>
      </c>
      <c r="G547" s="2" t="s">
        <v>2986</v>
      </c>
      <c r="H547" s="2" t="s">
        <v>2980</v>
      </c>
      <c r="I547" s="2" t="s">
        <v>0</v>
      </c>
      <c r="J547" s="2" t="s">
        <v>0</v>
      </c>
      <c r="K547" s="2" t="s">
        <v>2660</v>
      </c>
      <c r="L547" s="2" t="s">
        <v>2661</v>
      </c>
      <c r="M547" s="2" t="s">
        <v>2662</v>
      </c>
      <c r="N547" s="2" t="s">
        <v>12</v>
      </c>
      <c r="O547" s="2" t="s">
        <v>13</v>
      </c>
      <c r="P547" s="2" t="s">
        <v>14</v>
      </c>
      <c r="Q547" s="2" t="s">
        <v>52</v>
      </c>
      <c r="R547" s="2" t="s">
        <v>702</v>
      </c>
      <c r="S547" s="2" t="s">
        <v>17</v>
      </c>
      <c r="T547" s="2" t="s">
        <v>35</v>
      </c>
      <c r="U547" s="2" t="s">
        <v>2987</v>
      </c>
    </row>
    <row r="548" spans="1:21">
      <c r="A548" s="2" t="s">
        <v>2988</v>
      </c>
      <c r="B548" s="2" t="s">
        <v>27</v>
      </c>
      <c r="C548" s="2" t="s">
        <v>2989</v>
      </c>
      <c r="D548" s="2" t="s">
        <v>2990</v>
      </c>
      <c r="E548" s="2" t="s">
        <v>2991</v>
      </c>
      <c r="F548" s="2" t="s">
        <v>2952</v>
      </c>
      <c r="G548" s="2" t="s">
        <v>2953</v>
      </c>
      <c r="H548" s="2" t="s">
        <v>2992</v>
      </c>
      <c r="I548" s="2" t="s">
        <v>2993</v>
      </c>
      <c r="J548" s="2" t="s">
        <v>2670</v>
      </c>
      <c r="K548" s="2" t="s">
        <v>0</v>
      </c>
      <c r="L548" s="2" t="s">
        <v>2661</v>
      </c>
      <c r="M548" s="2" t="s">
        <v>2662</v>
      </c>
      <c r="N548" s="2" t="s">
        <v>12</v>
      </c>
      <c r="O548" s="2" t="s">
        <v>0</v>
      </c>
      <c r="P548" s="2" t="s">
        <v>14</v>
      </c>
      <c r="Q548" s="2" t="s">
        <v>1346</v>
      </c>
      <c r="R548" s="2" t="s">
        <v>2994</v>
      </c>
      <c r="S548" s="2" t="s">
        <v>2995</v>
      </c>
      <c r="T548" s="2" t="s">
        <v>35</v>
      </c>
      <c r="U548" s="2" t="s">
        <v>2996</v>
      </c>
    </row>
    <row r="549" spans="1:21">
      <c r="A549" s="2" t="s">
        <v>2997</v>
      </c>
      <c r="B549" s="2" t="s">
        <v>27</v>
      </c>
      <c r="C549" s="2" t="s">
        <v>2998</v>
      </c>
      <c r="D549" s="2" t="s">
        <v>2999</v>
      </c>
      <c r="E549" s="2" t="s">
        <v>3000</v>
      </c>
      <c r="F549" s="2" t="s">
        <v>3001</v>
      </c>
      <c r="G549" s="2" t="s">
        <v>3002</v>
      </c>
      <c r="H549" s="2" t="s">
        <v>2992</v>
      </c>
      <c r="I549" s="2" t="s">
        <v>2993</v>
      </c>
      <c r="J549" s="2" t="s">
        <v>2670</v>
      </c>
      <c r="K549" s="2" t="s">
        <v>0</v>
      </c>
      <c r="L549" s="2" t="s">
        <v>2661</v>
      </c>
      <c r="M549" s="2" t="s">
        <v>2662</v>
      </c>
      <c r="N549" s="2" t="s">
        <v>12</v>
      </c>
      <c r="O549" s="2" t="s">
        <v>0</v>
      </c>
      <c r="P549" s="2" t="s">
        <v>14</v>
      </c>
      <c r="Q549" s="2" t="s">
        <v>1346</v>
      </c>
      <c r="R549" s="2" t="s">
        <v>2994</v>
      </c>
      <c r="S549" s="2" t="s">
        <v>2995</v>
      </c>
      <c r="T549" s="2" t="s">
        <v>35</v>
      </c>
      <c r="U549" s="2" t="s">
        <v>0</v>
      </c>
    </row>
    <row r="550" spans="1:21">
      <c r="A550" s="2" t="s">
        <v>3003</v>
      </c>
      <c r="B550" s="2" t="s">
        <v>27</v>
      </c>
      <c r="C550" s="2" t="s">
        <v>3004</v>
      </c>
      <c r="D550" s="2" t="s">
        <v>3005</v>
      </c>
      <c r="E550" s="2" t="s">
        <v>3006</v>
      </c>
      <c r="F550" s="2" t="s">
        <v>3007</v>
      </c>
      <c r="G550" s="2" t="s">
        <v>3008</v>
      </c>
      <c r="H550" s="2" t="s">
        <v>2992</v>
      </c>
      <c r="I550" s="2" t="s">
        <v>2993</v>
      </c>
      <c r="J550" s="2" t="s">
        <v>2670</v>
      </c>
      <c r="K550" s="2" t="s">
        <v>0</v>
      </c>
      <c r="L550" s="2" t="s">
        <v>2661</v>
      </c>
      <c r="M550" s="2" t="s">
        <v>2662</v>
      </c>
      <c r="N550" s="2" t="s">
        <v>12</v>
      </c>
      <c r="O550" s="2" t="s">
        <v>0</v>
      </c>
      <c r="P550" s="2" t="s">
        <v>14</v>
      </c>
      <c r="Q550" s="2" t="s">
        <v>1346</v>
      </c>
      <c r="R550" s="2" t="s">
        <v>2994</v>
      </c>
      <c r="S550" s="2" t="s">
        <v>2995</v>
      </c>
      <c r="T550" s="2" t="s">
        <v>35</v>
      </c>
      <c r="U550" s="2" t="s">
        <v>3009</v>
      </c>
    </row>
    <row r="551" spans="1:21">
      <c r="A551" s="2" t="s">
        <v>3010</v>
      </c>
      <c r="B551" s="2" t="s">
        <v>27</v>
      </c>
      <c r="C551" s="2" t="s">
        <v>3011</v>
      </c>
      <c r="D551" s="2" t="s">
        <v>3012</v>
      </c>
      <c r="E551" s="2" t="s">
        <v>3013</v>
      </c>
      <c r="F551" s="2" t="s">
        <v>3001</v>
      </c>
      <c r="G551" s="2" t="s">
        <v>3002</v>
      </c>
      <c r="H551" s="2" t="s">
        <v>2992</v>
      </c>
      <c r="I551" s="2" t="s">
        <v>2993</v>
      </c>
      <c r="J551" s="2" t="s">
        <v>2670</v>
      </c>
      <c r="K551" s="2" t="s">
        <v>0</v>
      </c>
      <c r="L551" s="2" t="s">
        <v>2661</v>
      </c>
      <c r="M551" s="2" t="s">
        <v>2662</v>
      </c>
      <c r="N551" s="2" t="s">
        <v>12</v>
      </c>
      <c r="O551" s="2" t="s">
        <v>0</v>
      </c>
      <c r="P551" s="2" t="s">
        <v>14</v>
      </c>
      <c r="Q551" s="2" t="s">
        <v>1346</v>
      </c>
      <c r="R551" s="2" t="s">
        <v>2994</v>
      </c>
      <c r="S551" s="2" t="s">
        <v>2995</v>
      </c>
      <c r="T551" s="2" t="s">
        <v>35</v>
      </c>
      <c r="U551" s="2" t="s">
        <v>3014</v>
      </c>
    </row>
    <row r="552" spans="1:21">
      <c r="A552" s="2" t="s">
        <v>3015</v>
      </c>
      <c r="B552" s="2" t="s">
        <v>27</v>
      </c>
      <c r="C552" s="2" t="s">
        <v>3016</v>
      </c>
      <c r="D552" s="2" t="s">
        <v>3017</v>
      </c>
      <c r="E552" s="2" t="s">
        <v>3018</v>
      </c>
      <c r="F552" s="2" t="s">
        <v>3007</v>
      </c>
      <c r="G552" s="2" t="s">
        <v>3008</v>
      </c>
      <c r="H552" s="2" t="s">
        <v>2992</v>
      </c>
      <c r="I552" s="2" t="s">
        <v>2993</v>
      </c>
      <c r="J552" s="2" t="s">
        <v>2670</v>
      </c>
      <c r="K552" s="2" t="s">
        <v>0</v>
      </c>
      <c r="L552" s="2" t="s">
        <v>2661</v>
      </c>
      <c r="M552" s="2" t="s">
        <v>2662</v>
      </c>
      <c r="N552" s="2" t="s">
        <v>12</v>
      </c>
      <c r="O552" s="2" t="s">
        <v>0</v>
      </c>
      <c r="P552" s="2" t="s">
        <v>14</v>
      </c>
      <c r="Q552" s="2" t="s">
        <v>1346</v>
      </c>
      <c r="R552" s="2" t="s">
        <v>2994</v>
      </c>
      <c r="S552" s="2" t="s">
        <v>2995</v>
      </c>
      <c r="T552" s="2" t="s">
        <v>35</v>
      </c>
      <c r="U552" s="2" t="s">
        <v>3019</v>
      </c>
    </row>
    <row r="553" spans="1:21">
      <c r="A553" s="2" t="s">
        <v>3020</v>
      </c>
      <c r="B553" s="2" t="s">
        <v>27</v>
      </c>
      <c r="C553" s="2" t="s">
        <v>2966</v>
      </c>
      <c r="D553" s="2" t="s">
        <v>3021</v>
      </c>
      <c r="E553" s="2" t="s">
        <v>3022</v>
      </c>
      <c r="F553" s="2" t="s">
        <v>3007</v>
      </c>
      <c r="G553" s="2" t="s">
        <v>3008</v>
      </c>
      <c r="H553" s="2" t="s">
        <v>2992</v>
      </c>
      <c r="I553" s="2" t="s">
        <v>2993</v>
      </c>
      <c r="J553" s="2" t="s">
        <v>2670</v>
      </c>
      <c r="K553" s="2" t="s">
        <v>0</v>
      </c>
      <c r="L553" s="2" t="s">
        <v>2661</v>
      </c>
      <c r="M553" s="2" t="s">
        <v>2662</v>
      </c>
      <c r="N553" s="2" t="s">
        <v>12</v>
      </c>
      <c r="O553" s="2" t="s">
        <v>0</v>
      </c>
      <c r="P553" s="2" t="s">
        <v>14</v>
      </c>
      <c r="Q553" s="2" t="s">
        <v>1346</v>
      </c>
      <c r="R553" s="2" t="s">
        <v>2994</v>
      </c>
      <c r="S553" s="2" t="s">
        <v>2995</v>
      </c>
      <c r="T553" s="2" t="s">
        <v>35</v>
      </c>
      <c r="U553" s="2" t="s">
        <v>0</v>
      </c>
    </row>
    <row r="554" spans="1:21">
      <c r="A554" s="2" t="s">
        <v>3023</v>
      </c>
      <c r="B554" s="2" t="s">
        <v>27</v>
      </c>
      <c r="C554" s="2" t="s">
        <v>3024</v>
      </c>
      <c r="D554" s="2" t="s">
        <v>3025</v>
      </c>
      <c r="E554" s="2" t="s">
        <v>3026</v>
      </c>
      <c r="F554" s="2" t="s">
        <v>3007</v>
      </c>
      <c r="G554" s="2" t="s">
        <v>3008</v>
      </c>
      <c r="H554" s="2" t="s">
        <v>2992</v>
      </c>
      <c r="I554" s="2" t="s">
        <v>2993</v>
      </c>
      <c r="J554" s="2" t="s">
        <v>2670</v>
      </c>
      <c r="K554" s="2" t="s">
        <v>0</v>
      </c>
      <c r="L554" s="2" t="s">
        <v>2661</v>
      </c>
      <c r="M554" s="2" t="s">
        <v>2662</v>
      </c>
      <c r="N554" s="2" t="s">
        <v>12</v>
      </c>
      <c r="O554" s="2" t="s">
        <v>0</v>
      </c>
      <c r="P554" s="2" t="s">
        <v>14</v>
      </c>
      <c r="Q554" s="2" t="s">
        <v>1346</v>
      </c>
      <c r="R554" s="2" t="s">
        <v>2994</v>
      </c>
      <c r="S554" s="2" t="s">
        <v>2995</v>
      </c>
      <c r="T554" s="2" t="s">
        <v>35</v>
      </c>
      <c r="U554" s="2" t="s">
        <v>0</v>
      </c>
    </row>
    <row r="555" spans="1:21">
      <c r="A555" s="2" t="s">
        <v>3027</v>
      </c>
      <c r="B555" s="2" t="s">
        <v>27</v>
      </c>
      <c r="C555" s="2" t="s">
        <v>2385</v>
      </c>
      <c r="D555" s="2" t="s">
        <v>3028</v>
      </c>
      <c r="E555" s="2" t="s">
        <v>3029</v>
      </c>
      <c r="F555" s="2" t="s">
        <v>3007</v>
      </c>
      <c r="G555" s="2" t="s">
        <v>3008</v>
      </c>
      <c r="H555" s="2" t="s">
        <v>3030</v>
      </c>
      <c r="I555" s="2" t="s">
        <v>3031</v>
      </c>
      <c r="J555" s="2" t="s">
        <v>2670</v>
      </c>
      <c r="K555" s="2" t="s">
        <v>0</v>
      </c>
      <c r="L555" s="2" t="s">
        <v>2661</v>
      </c>
      <c r="M555" s="2" t="s">
        <v>2662</v>
      </c>
      <c r="N555" s="2" t="s">
        <v>12</v>
      </c>
      <c r="O555" s="2" t="s">
        <v>0</v>
      </c>
      <c r="P555" s="2" t="s">
        <v>14</v>
      </c>
      <c r="Q555" s="2" t="s">
        <v>1346</v>
      </c>
      <c r="R555" s="2" t="s">
        <v>2994</v>
      </c>
      <c r="S555" s="2" t="s">
        <v>3032</v>
      </c>
      <c r="T555" s="2" t="s">
        <v>35</v>
      </c>
      <c r="U555" s="2" t="s">
        <v>3033</v>
      </c>
    </row>
    <row r="556" spans="1:21">
      <c r="A556" s="2" t="s">
        <v>3034</v>
      </c>
      <c r="B556" s="2" t="s">
        <v>27</v>
      </c>
      <c r="C556" s="2" t="s">
        <v>1394</v>
      </c>
      <c r="D556" s="2" t="s">
        <v>3035</v>
      </c>
      <c r="E556" s="2" t="s">
        <v>3036</v>
      </c>
      <c r="F556" s="2" t="s">
        <v>3001</v>
      </c>
      <c r="G556" s="2" t="s">
        <v>3002</v>
      </c>
      <c r="H556" s="2" t="s">
        <v>3030</v>
      </c>
      <c r="I556" s="2" t="s">
        <v>3031</v>
      </c>
      <c r="J556" s="2" t="s">
        <v>2670</v>
      </c>
      <c r="K556" s="2" t="s">
        <v>0</v>
      </c>
      <c r="L556" s="2" t="s">
        <v>2661</v>
      </c>
      <c r="M556" s="2" t="s">
        <v>2662</v>
      </c>
      <c r="N556" s="2" t="s">
        <v>12</v>
      </c>
      <c r="O556" s="2" t="s">
        <v>0</v>
      </c>
      <c r="P556" s="2" t="s">
        <v>14</v>
      </c>
      <c r="Q556" s="2" t="s">
        <v>1346</v>
      </c>
      <c r="R556" s="2" t="s">
        <v>2994</v>
      </c>
      <c r="S556" s="2" t="s">
        <v>3032</v>
      </c>
      <c r="T556" s="2" t="s">
        <v>35</v>
      </c>
      <c r="U556" s="2" t="s">
        <v>0</v>
      </c>
    </row>
    <row r="557" spans="1:21">
      <c r="A557" s="2" t="s">
        <v>3037</v>
      </c>
      <c r="B557" s="2" t="s">
        <v>27</v>
      </c>
      <c r="C557" s="2" t="s">
        <v>3038</v>
      </c>
      <c r="D557" s="2" t="s">
        <v>3039</v>
      </c>
      <c r="E557" s="2" t="s">
        <v>3040</v>
      </c>
      <c r="F557" s="2" t="s">
        <v>2952</v>
      </c>
      <c r="G557" s="2" t="s">
        <v>2953</v>
      </c>
      <c r="H557" s="2" t="s">
        <v>3030</v>
      </c>
      <c r="I557" s="2" t="s">
        <v>3031</v>
      </c>
      <c r="J557" s="2" t="s">
        <v>2670</v>
      </c>
      <c r="K557" s="2" t="s">
        <v>0</v>
      </c>
      <c r="L557" s="2" t="s">
        <v>2661</v>
      </c>
      <c r="M557" s="2" t="s">
        <v>2662</v>
      </c>
      <c r="N557" s="2" t="s">
        <v>12</v>
      </c>
      <c r="O557" s="2" t="s">
        <v>0</v>
      </c>
      <c r="P557" s="2" t="s">
        <v>14</v>
      </c>
      <c r="Q557" s="2" t="s">
        <v>1346</v>
      </c>
      <c r="R557" s="2" t="s">
        <v>2994</v>
      </c>
      <c r="S557" s="2" t="s">
        <v>3032</v>
      </c>
      <c r="T557" s="2" t="s">
        <v>35</v>
      </c>
      <c r="U557" s="2" t="s">
        <v>0</v>
      </c>
    </row>
    <row r="558" spans="1:21">
      <c r="A558" s="2" t="s">
        <v>3041</v>
      </c>
      <c r="B558" s="2" t="s">
        <v>27</v>
      </c>
      <c r="C558" s="2" t="s">
        <v>3042</v>
      </c>
      <c r="D558" s="2" t="s">
        <v>3043</v>
      </c>
      <c r="E558" s="2" t="s">
        <v>3044</v>
      </c>
      <c r="F558" s="2" t="s">
        <v>3001</v>
      </c>
      <c r="G558" s="2" t="s">
        <v>3002</v>
      </c>
      <c r="H558" s="2" t="s">
        <v>3030</v>
      </c>
      <c r="I558" s="2" t="s">
        <v>3031</v>
      </c>
      <c r="J558" s="2" t="s">
        <v>2670</v>
      </c>
      <c r="K558" s="2" t="s">
        <v>0</v>
      </c>
      <c r="L558" s="2" t="s">
        <v>2661</v>
      </c>
      <c r="M558" s="2" t="s">
        <v>2662</v>
      </c>
      <c r="N558" s="2" t="s">
        <v>12</v>
      </c>
      <c r="O558" s="2" t="s">
        <v>0</v>
      </c>
      <c r="P558" s="2" t="s">
        <v>14</v>
      </c>
      <c r="Q558" s="2" t="s">
        <v>1346</v>
      </c>
      <c r="R558" s="2" t="s">
        <v>2994</v>
      </c>
      <c r="S558" s="2" t="s">
        <v>3032</v>
      </c>
      <c r="T558" s="2" t="s">
        <v>35</v>
      </c>
      <c r="U558" s="2" t="s">
        <v>0</v>
      </c>
    </row>
    <row r="559" spans="1:21">
      <c r="A559" s="2" t="s">
        <v>3045</v>
      </c>
      <c r="B559" s="2" t="s">
        <v>27</v>
      </c>
      <c r="C559" s="2" t="s">
        <v>3046</v>
      </c>
      <c r="D559" s="2" t="s">
        <v>3047</v>
      </c>
      <c r="E559" s="2" t="s">
        <v>3048</v>
      </c>
      <c r="F559" s="2" t="s">
        <v>3007</v>
      </c>
      <c r="G559" s="2" t="s">
        <v>3008</v>
      </c>
      <c r="H559" s="2" t="s">
        <v>3030</v>
      </c>
      <c r="I559" s="2" t="s">
        <v>3031</v>
      </c>
      <c r="J559" s="2" t="s">
        <v>2670</v>
      </c>
      <c r="K559" s="2" t="s">
        <v>0</v>
      </c>
      <c r="L559" s="2" t="s">
        <v>2661</v>
      </c>
      <c r="M559" s="2" t="s">
        <v>2662</v>
      </c>
      <c r="N559" s="2" t="s">
        <v>12</v>
      </c>
      <c r="O559" s="2" t="s">
        <v>0</v>
      </c>
      <c r="P559" s="2" t="s">
        <v>14</v>
      </c>
      <c r="Q559" s="2" t="s">
        <v>1346</v>
      </c>
      <c r="R559" s="2" t="s">
        <v>2994</v>
      </c>
      <c r="S559" s="2" t="s">
        <v>3032</v>
      </c>
      <c r="T559" s="2" t="s">
        <v>35</v>
      </c>
      <c r="U559" s="2" t="s">
        <v>0</v>
      </c>
    </row>
    <row r="560" spans="1:21">
      <c r="A560" s="2" t="s">
        <v>3049</v>
      </c>
      <c r="B560" s="2" t="s">
        <v>27</v>
      </c>
      <c r="C560" s="2" t="s">
        <v>3050</v>
      </c>
      <c r="D560" s="2" t="s">
        <v>3051</v>
      </c>
      <c r="E560" s="2" t="s">
        <v>3052</v>
      </c>
      <c r="F560" s="2" t="s">
        <v>3007</v>
      </c>
      <c r="G560" s="2" t="s">
        <v>3008</v>
      </c>
      <c r="H560" s="2" t="s">
        <v>3030</v>
      </c>
      <c r="I560" s="2" t="s">
        <v>3031</v>
      </c>
      <c r="J560" s="2" t="s">
        <v>2670</v>
      </c>
      <c r="K560" s="2" t="s">
        <v>0</v>
      </c>
      <c r="L560" s="2" t="s">
        <v>2661</v>
      </c>
      <c r="M560" s="2" t="s">
        <v>2662</v>
      </c>
      <c r="N560" s="2" t="s">
        <v>12</v>
      </c>
      <c r="O560" s="2" t="s">
        <v>0</v>
      </c>
      <c r="P560" s="2" t="s">
        <v>14</v>
      </c>
      <c r="Q560" s="2" t="s">
        <v>1346</v>
      </c>
      <c r="R560" s="2" t="s">
        <v>2994</v>
      </c>
      <c r="S560" s="2" t="s">
        <v>3032</v>
      </c>
      <c r="T560" s="2" t="s">
        <v>35</v>
      </c>
      <c r="U560" s="2" t="s">
        <v>3053</v>
      </c>
    </row>
    <row r="561" spans="1:21">
      <c r="A561" s="2" t="s">
        <v>3054</v>
      </c>
      <c r="B561" s="2" t="s">
        <v>27</v>
      </c>
      <c r="C561" s="2" t="s">
        <v>1099</v>
      </c>
      <c r="D561" s="2" t="s">
        <v>3055</v>
      </c>
      <c r="E561" s="2" t="s">
        <v>3056</v>
      </c>
      <c r="F561" s="2" t="s">
        <v>3007</v>
      </c>
      <c r="G561" s="2" t="s">
        <v>3008</v>
      </c>
      <c r="H561" s="2" t="s">
        <v>3030</v>
      </c>
      <c r="I561" s="2" t="s">
        <v>3031</v>
      </c>
      <c r="J561" s="2" t="s">
        <v>2670</v>
      </c>
      <c r="K561" s="2" t="s">
        <v>0</v>
      </c>
      <c r="L561" s="2" t="s">
        <v>2661</v>
      </c>
      <c r="M561" s="2" t="s">
        <v>2662</v>
      </c>
      <c r="N561" s="2" t="s">
        <v>12</v>
      </c>
      <c r="O561" s="2" t="s">
        <v>0</v>
      </c>
      <c r="P561" s="2" t="s">
        <v>14</v>
      </c>
      <c r="Q561" s="2" t="s">
        <v>1346</v>
      </c>
      <c r="R561" s="2" t="s">
        <v>2994</v>
      </c>
      <c r="S561" s="2" t="s">
        <v>3032</v>
      </c>
      <c r="T561" s="2" t="s">
        <v>35</v>
      </c>
      <c r="U561" s="2" t="s">
        <v>0</v>
      </c>
    </row>
    <row r="562" spans="1:21">
      <c r="A562" s="2" t="s">
        <v>3057</v>
      </c>
      <c r="B562" s="2" t="s">
        <v>27</v>
      </c>
      <c r="C562" s="2" t="s">
        <v>957</v>
      </c>
      <c r="D562" s="2" t="s">
        <v>3058</v>
      </c>
      <c r="E562" s="2" t="s">
        <v>3059</v>
      </c>
      <c r="F562" s="2" t="s">
        <v>3001</v>
      </c>
      <c r="G562" s="2" t="s">
        <v>3002</v>
      </c>
      <c r="H562" s="2" t="s">
        <v>3060</v>
      </c>
      <c r="I562" s="2" t="s">
        <v>3061</v>
      </c>
      <c r="J562" s="2" t="s">
        <v>2670</v>
      </c>
      <c r="K562" s="2" t="s">
        <v>0</v>
      </c>
      <c r="L562" s="2" t="s">
        <v>2661</v>
      </c>
      <c r="M562" s="2" t="s">
        <v>2662</v>
      </c>
      <c r="N562" s="2" t="s">
        <v>12</v>
      </c>
      <c r="O562" s="2" t="s">
        <v>0</v>
      </c>
      <c r="P562" s="2" t="s">
        <v>14</v>
      </c>
      <c r="Q562" s="2" t="s">
        <v>1346</v>
      </c>
      <c r="R562" s="2" t="s">
        <v>2994</v>
      </c>
      <c r="S562" s="2" t="s">
        <v>3062</v>
      </c>
      <c r="T562" s="2" t="s">
        <v>35</v>
      </c>
      <c r="U562" s="2" t="s">
        <v>3063</v>
      </c>
    </row>
    <row r="563" spans="1:21">
      <c r="A563" s="2" t="s">
        <v>3064</v>
      </c>
      <c r="B563" s="2" t="s">
        <v>27</v>
      </c>
      <c r="C563" s="2" t="s">
        <v>3065</v>
      </c>
      <c r="D563" s="2" t="s">
        <v>3066</v>
      </c>
      <c r="E563" s="2" t="s">
        <v>3067</v>
      </c>
      <c r="F563" s="2" t="s">
        <v>3007</v>
      </c>
      <c r="G563" s="2" t="s">
        <v>3008</v>
      </c>
      <c r="H563" s="2" t="s">
        <v>3060</v>
      </c>
      <c r="I563" s="2" t="s">
        <v>3061</v>
      </c>
      <c r="J563" s="2" t="s">
        <v>2670</v>
      </c>
      <c r="K563" s="2" t="s">
        <v>0</v>
      </c>
      <c r="L563" s="2" t="s">
        <v>2661</v>
      </c>
      <c r="M563" s="2" t="s">
        <v>2662</v>
      </c>
      <c r="N563" s="2" t="s">
        <v>12</v>
      </c>
      <c r="O563" s="2" t="s">
        <v>0</v>
      </c>
      <c r="P563" s="2" t="s">
        <v>14</v>
      </c>
      <c r="Q563" s="2" t="s">
        <v>1346</v>
      </c>
      <c r="R563" s="2" t="s">
        <v>2994</v>
      </c>
      <c r="S563" s="2" t="s">
        <v>3062</v>
      </c>
      <c r="T563" s="2" t="s">
        <v>35</v>
      </c>
      <c r="U563" s="2" t="s">
        <v>3068</v>
      </c>
    </row>
    <row r="564" spans="1:21">
      <c r="A564" s="2" t="s">
        <v>3069</v>
      </c>
      <c r="B564" s="2" t="s">
        <v>27</v>
      </c>
      <c r="C564" s="2" t="s">
        <v>3070</v>
      </c>
      <c r="D564" s="2" t="s">
        <v>3071</v>
      </c>
      <c r="E564" s="2" t="s">
        <v>3072</v>
      </c>
      <c r="F564" s="2" t="s">
        <v>2952</v>
      </c>
      <c r="G564" s="2" t="s">
        <v>2953</v>
      </c>
      <c r="H564" s="2" t="s">
        <v>3060</v>
      </c>
      <c r="I564" s="2" t="s">
        <v>3061</v>
      </c>
      <c r="J564" s="2" t="s">
        <v>2670</v>
      </c>
      <c r="K564" s="2" t="s">
        <v>0</v>
      </c>
      <c r="L564" s="2" t="s">
        <v>2661</v>
      </c>
      <c r="M564" s="2" t="s">
        <v>2662</v>
      </c>
      <c r="N564" s="2" t="s">
        <v>12</v>
      </c>
      <c r="O564" s="2" t="s">
        <v>0</v>
      </c>
      <c r="P564" s="2" t="s">
        <v>14</v>
      </c>
      <c r="Q564" s="2" t="s">
        <v>1346</v>
      </c>
      <c r="R564" s="2" t="s">
        <v>2994</v>
      </c>
      <c r="S564" s="2" t="s">
        <v>3062</v>
      </c>
      <c r="T564" s="2" t="s">
        <v>35</v>
      </c>
      <c r="U564" s="2" t="s">
        <v>3073</v>
      </c>
    </row>
    <row r="565" spans="1:21">
      <c r="A565" s="2" t="s">
        <v>3074</v>
      </c>
      <c r="B565" s="2" t="s">
        <v>27</v>
      </c>
      <c r="C565" s="2" t="s">
        <v>3075</v>
      </c>
      <c r="D565" s="2" t="s">
        <v>3076</v>
      </c>
      <c r="E565" s="2" t="s">
        <v>3077</v>
      </c>
      <c r="F565" s="2" t="s">
        <v>3001</v>
      </c>
      <c r="G565" s="2" t="s">
        <v>3002</v>
      </c>
      <c r="H565" s="2" t="s">
        <v>3060</v>
      </c>
      <c r="I565" s="2" t="s">
        <v>3061</v>
      </c>
      <c r="J565" s="2" t="s">
        <v>2670</v>
      </c>
      <c r="K565" s="2" t="s">
        <v>0</v>
      </c>
      <c r="L565" s="2" t="s">
        <v>2661</v>
      </c>
      <c r="M565" s="2" t="s">
        <v>2662</v>
      </c>
      <c r="N565" s="2" t="s">
        <v>12</v>
      </c>
      <c r="O565" s="2" t="s">
        <v>0</v>
      </c>
      <c r="P565" s="2" t="s">
        <v>14</v>
      </c>
      <c r="Q565" s="2" t="s">
        <v>1346</v>
      </c>
      <c r="R565" s="2" t="s">
        <v>2994</v>
      </c>
      <c r="S565" s="2" t="s">
        <v>3062</v>
      </c>
      <c r="T565" s="2" t="s">
        <v>35</v>
      </c>
      <c r="U565" s="2" t="s">
        <v>3078</v>
      </c>
    </row>
    <row r="566" spans="1:21">
      <c r="A566" s="2" t="s">
        <v>3079</v>
      </c>
      <c r="B566" s="2" t="s">
        <v>27</v>
      </c>
      <c r="C566" s="2" t="s">
        <v>3080</v>
      </c>
      <c r="D566" s="2" t="s">
        <v>3081</v>
      </c>
      <c r="E566" s="2" t="s">
        <v>3082</v>
      </c>
      <c r="F566" s="2" t="s">
        <v>3007</v>
      </c>
      <c r="G566" s="2" t="s">
        <v>3008</v>
      </c>
      <c r="H566" s="2" t="s">
        <v>3060</v>
      </c>
      <c r="I566" s="2" t="s">
        <v>3061</v>
      </c>
      <c r="J566" s="2" t="s">
        <v>2670</v>
      </c>
      <c r="K566" s="2" t="s">
        <v>0</v>
      </c>
      <c r="L566" s="2" t="s">
        <v>2661</v>
      </c>
      <c r="M566" s="2" t="s">
        <v>2662</v>
      </c>
      <c r="N566" s="2" t="s">
        <v>12</v>
      </c>
      <c r="O566" s="2" t="s">
        <v>0</v>
      </c>
      <c r="P566" s="2" t="s">
        <v>14</v>
      </c>
      <c r="Q566" s="2" t="s">
        <v>1346</v>
      </c>
      <c r="R566" s="2" t="s">
        <v>2994</v>
      </c>
      <c r="S566" s="2" t="s">
        <v>3062</v>
      </c>
      <c r="T566" s="2" t="s">
        <v>35</v>
      </c>
      <c r="U566" s="2" t="s">
        <v>3083</v>
      </c>
    </row>
    <row r="567" spans="1:21">
      <c r="A567" s="2" t="s">
        <v>3084</v>
      </c>
      <c r="B567" s="2" t="s">
        <v>27</v>
      </c>
      <c r="C567" s="2" t="s">
        <v>3085</v>
      </c>
      <c r="D567" s="2" t="s">
        <v>3086</v>
      </c>
      <c r="E567" s="2" t="s">
        <v>3087</v>
      </c>
      <c r="F567" s="2" t="s">
        <v>3007</v>
      </c>
      <c r="G567" s="2" t="s">
        <v>3008</v>
      </c>
      <c r="H567" s="2" t="s">
        <v>3060</v>
      </c>
      <c r="I567" s="2" t="s">
        <v>3061</v>
      </c>
      <c r="J567" s="2" t="s">
        <v>2670</v>
      </c>
      <c r="K567" s="2" t="s">
        <v>0</v>
      </c>
      <c r="L567" s="2" t="s">
        <v>2661</v>
      </c>
      <c r="M567" s="2" t="s">
        <v>2662</v>
      </c>
      <c r="N567" s="2" t="s">
        <v>12</v>
      </c>
      <c r="O567" s="2" t="s">
        <v>0</v>
      </c>
      <c r="P567" s="2" t="s">
        <v>14</v>
      </c>
      <c r="Q567" s="2" t="s">
        <v>1346</v>
      </c>
      <c r="R567" s="2" t="s">
        <v>2994</v>
      </c>
      <c r="S567" s="2" t="s">
        <v>3062</v>
      </c>
      <c r="T567" s="2" t="s">
        <v>35</v>
      </c>
      <c r="U567" s="2" t="s">
        <v>0</v>
      </c>
    </row>
    <row r="568" spans="1:21">
      <c r="A568" s="2" t="s">
        <v>3088</v>
      </c>
      <c r="B568" s="2" t="s">
        <v>27</v>
      </c>
      <c r="C568" s="2" t="s">
        <v>3089</v>
      </c>
      <c r="D568" s="2" t="s">
        <v>3090</v>
      </c>
      <c r="E568" s="2" t="s">
        <v>3091</v>
      </c>
      <c r="F568" s="2" t="s">
        <v>3007</v>
      </c>
      <c r="G568" s="2" t="s">
        <v>3008</v>
      </c>
      <c r="H568" s="2" t="s">
        <v>3060</v>
      </c>
      <c r="I568" s="2" t="s">
        <v>3061</v>
      </c>
      <c r="J568" s="2" t="s">
        <v>2670</v>
      </c>
      <c r="K568" s="2" t="s">
        <v>0</v>
      </c>
      <c r="L568" s="2" t="s">
        <v>2661</v>
      </c>
      <c r="M568" s="2" t="s">
        <v>2662</v>
      </c>
      <c r="N568" s="2" t="s">
        <v>12</v>
      </c>
      <c r="O568" s="2" t="s">
        <v>0</v>
      </c>
      <c r="P568" s="2" t="s">
        <v>14</v>
      </c>
      <c r="Q568" s="2" t="s">
        <v>1346</v>
      </c>
      <c r="R568" s="2" t="s">
        <v>2994</v>
      </c>
      <c r="S568" s="2" t="s">
        <v>3062</v>
      </c>
      <c r="T568" s="2" t="s">
        <v>35</v>
      </c>
      <c r="U568" s="2" t="s">
        <v>0</v>
      </c>
    </row>
    <row r="569" spans="1:21">
      <c r="A569" s="2" t="s">
        <v>3092</v>
      </c>
      <c r="B569" s="2" t="s">
        <v>27</v>
      </c>
      <c r="C569" s="2" t="s">
        <v>512</v>
      </c>
      <c r="D569" s="2" t="s">
        <v>3093</v>
      </c>
      <c r="E569" s="2" t="s">
        <v>3094</v>
      </c>
      <c r="F569" s="2" t="s">
        <v>3001</v>
      </c>
      <c r="G569" s="2" t="s">
        <v>3002</v>
      </c>
      <c r="H569" s="2" t="s">
        <v>3095</v>
      </c>
      <c r="I569" s="2" t="s">
        <v>3096</v>
      </c>
      <c r="J569" s="2" t="s">
        <v>2670</v>
      </c>
      <c r="K569" s="2" t="s">
        <v>0</v>
      </c>
      <c r="L569" s="2" t="s">
        <v>2661</v>
      </c>
      <c r="M569" s="2" t="s">
        <v>2662</v>
      </c>
      <c r="N569" s="2" t="s">
        <v>12</v>
      </c>
      <c r="O569" s="2" t="s">
        <v>0</v>
      </c>
      <c r="P569" s="2" t="s">
        <v>14</v>
      </c>
      <c r="Q569" s="2" t="s">
        <v>1346</v>
      </c>
      <c r="R569" s="2" t="s">
        <v>2994</v>
      </c>
      <c r="S569" s="2" t="s">
        <v>3097</v>
      </c>
      <c r="T569" s="2" t="s">
        <v>35</v>
      </c>
      <c r="U569" s="2" t="s">
        <v>3098</v>
      </c>
    </row>
    <row r="570" spans="1:21">
      <c r="A570" s="2" t="s">
        <v>3099</v>
      </c>
      <c r="B570" s="2" t="s">
        <v>27</v>
      </c>
      <c r="C570" s="2" t="s">
        <v>957</v>
      </c>
      <c r="D570" s="2" t="s">
        <v>3100</v>
      </c>
      <c r="E570" s="2" t="s">
        <v>3101</v>
      </c>
      <c r="F570" s="2" t="s">
        <v>2952</v>
      </c>
      <c r="G570" s="2" t="s">
        <v>2953</v>
      </c>
      <c r="H570" s="2" t="s">
        <v>3095</v>
      </c>
      <c r="I570" s="2" t="s">
        <v>3096</v>
      </c>
      <c r="J570" s="2" t="s">
        <v>2670</v>
      </c>
      <c r="K570" s="2" t="s">
        <v>0</v>
      </c>
      <c r="L570" s="2" t="s">
        <v>2661</v>
      </c>
      <c r="M570" s="2" t="s">
        <v>2662</v>
      </c>
      <c r="N570" s="2" t="s">
        <v>12</v>
      </c>
      <c r="O570" s="2" t="s">
        <v>0</v>
      </c>
      <c r="P570" s="2" t="s">
        <v>14</v>
      </c>
      <c r="Q570" s="2" t="s">
        <v>1346</v>
      </c>
      <c r="R570" s="2" t="s">
        <v>2994</v>
      </c>
      <c r="S570" s="2" t="s">
        <v>3097</v>
      </c>
      <c r="T570" s="2" t="s">
        <v>35</v>
      </c>
      <c r="U570" s="2" t="s">
        <v>0</v>
      </c>
    </row>
    <row r="571" spans="1:21">
      <c r="A571" s="2" t="s">
        <v>3102</v>
      </c>
      <c r="B571" s="2" t="s">
        <v>27</v>
      </c>
      <c r="C571" s="2" t="s">
        <v>3103</v>
      </c>
      <c r="D571" s="2" t="s">
        <v>3104</v>
      </c>
      <c r="E571" s="2" t="s">
        <v>3105</v>
      </c>
      <c r="F571" s="2" t="s">
        <v>3001</v>
      </c>
      <c r="G571" s="2" t="s">
        <v>3002</v>
      </c>
      <c r="H571" s="2" t="s">
        <v>3095</v>
      </c>
      <c r="I571" s="2" t="s">
        <v>3096</v>
      </c>
      <c r="J571" s="2" t="s">
        <v>2670</v>
      </c>
      <c r="K571" s="2" t="s">
        <v>0</v>
      </c>
      <c r="L571" s="2" t="s">
        <v>2661</v>
      </c>
      <c r="M571" s="2" t="s">
        <v>2662</v>
      </c>
      <c r="N571" s="2" t="s">
        <v>12</v>
      </c>
      <c r="O571" s="2" t="s">
        <v>0</v>
      </c>
      <c r="P571" s="2" t="s">
        <v>14</v>
      </c>
      <c r="Q571" s="2" t="s">
        <v>1346</v>
      </c>
      <c r="R571" s="2" t="s">
        <v>2994</v>
      </c>
      <c r="S571" s="2" t="s">
        <v>3097</v>
      </c>
      <c r="T571" s="2" t="s">
        <v>35</v>
      </c>
      <c r="U571" s="2" t="s">
        <v>3106</v>
      </c>
    </row>
    <row r="572" spans="1:21">
      <c r="A572" s="2" t="s">
        <v>3107</v>
      </c>
      <c r="B572" s="2" t="s">
        <v>27</v>
      </c>
      <c r="C572" s="2" t="s">
        <v>1233</v>
      </c>
      <c r="D572" s="2" t="s">
        <v>3108</v>
      </c>
      <c r="E572" s="2" t="s">
        <v>3109</v>
      </c>
      <c r="F572" s="2" t="s">
        <v>3007</v>
      </c>
      <c r="G572" s="2" t="s">
        <v>3008</v>
      </c>
      <c r="H572" s="2" t="s">
        <v>3095</v>
      </c>
      <c r="I572" s="2" t="s">
        <v>3096</v>
      </c>
      <c r="J572" s="2" t="s">
        <v>2670</v>
      </c>
      <c r="K572" s="2" t="s">
        <v>0</v>
      </c>
      <c r="L572" s="2" t="s">
        <v>2661</v>
      </c>
      <c r="M572" s="2" t="s">
        <v>2662</v>
      </c>
      <c r="N572" s="2" t="s">
        <v>12</v>
      </c>
      <c r="O572" s="2" t="s">
        <v>0</v>
      </c>
      <c r="P572" s="2" t="s">
        <v>14</v>
      </c>
      <c r="Q572" s="2" t="s">
        <v>1346</v>
      </c>
      <c r="R572" s="2" t="s">
        <v>2994</v>
      </c>
      <c r="S572" s="2" t="s">
        <v>3097</v>
      </c>
      <c r="T572" s="2" t="s">
        <v>35</v>
      </c>
      <c r="U572" s="2" t="s">
        <v>3110</v>
      </c>
    </row>
    <row r="573" spans="1:21">
      <c r="A573" s="2" t="s">
        <v>3111</v>
      </c>
      <c r="B573" s="2" t="s">
        <v>27</v>
      </c>
      <c r="C573" s="2" t="s">
        <v>3112</v>
      </c>
      <c r="D573" s="2" t="s">
        <v>3113</v>
      </c>
      <c r="E573" s="2" t="s">
        <v>3114</v>
      </c>
      <c r="F573" s="2" t="s">
        <v>3007</v>
      </c>
      <c r="G573" s="2" t="s">
        <v>3008</v>
      </c>
      <c r="H573" s="2" t="s">
        <v>3095</v>
      </c>
      <c r="I573" s="2" t="s">
        <v>3096</v>
      </c>
      <c r="J573" s="2" t="s">
        <v>2670</v>
      </c>
      <c r="K573" s="2" t="s">
        <v>0</v>
      </c>
      <c r="L573" s="2" t="s">
        <v>2661</v>
      </c>
      <c r="M573" s="2" t="s">
        <v>2662</v>
      </c>
      <c r="N573" s="2" t="s">
        <v>12</v>
      </c>
      <c r="O573" s="2" t="s">
        <v>0</v>
      </c>
      <c r="P573" s="2" t="s">
        <v>14</v>
      </c>
      <c r="Q573" s="2" t="s">
        <v>1346</v>
      </c>
      <c r="R573" s="2" t="s">
        <v>2994</v>
      </c>
      <c r="S573" s="2" t="s">
        <v>3097</v>
      </c>
      <c r="T573" s="2" t="s">
        <v>35</v>
      </c>
      <c r="U573" s="2" t="s">
        <v>3115</v>
      </c>
    </row>
    <row r="574" spans="1:21">
      <c r="A574" s="2" t="s">
        <v>3116</v>
      </c>
      <c r="B574" s="2" t="s">
        <v>27</v>
      </c>
      <c r="C574" s="2" t="s">
        <v>3117</v>
      </c>
      <c r="D574" s="2" t="s">
        <v>3118</v>
      </c>
      <c r="E574" s="2" t="s">
        <v>3119</v>
      </c>
      <c r="F574" s="2" t="s">
        <v>3007</v>
      </c>
      <c r="G574" s="2" t="s">
        <v>3008</v>
      </c>
      <c r="H574" s="2" t="s">
        <v>3095</v>
      </c>
      <c r="I574" s="2" t="s">
        <v>3096</v>
      </c>
      <c r="J574" s="2" t="s">
        <v>2670</v>
      </c>
      <c r="K574" s="2" t="s">
        <v>0</v>
      </c>
      <c r="L574" s="2" t="s">
        <v>2661</v>
      </c>
      <c r="M574" s="2" t="s">
        <v>2662</v>
      </c>
      <c r="N574" s="2" t="s">
        <v>12</v>
      </c>
      <c r="O574" s="2" t="s">
        <v>0</v>
      </c>
      <c r="P574" s="2" t="s">
        <v>14</v>
      </c>
      <c r="Q574" s="2" t="s">
        <v>1346</v>
      </c>
      <c r="R574" s="2" t="s">
        <v>2994</v>
      </c>
      <c r="S574" s="2" t="s">
        <v>3097</v>
      </c>
      <c r="T574" s="2" t="s">
        <v>35</v>
      </c>
      <c r="U574" s="2" t="s">
        <v>3120</v>
      </c>
    </row>
    <row r="575" spans="1:21">
      <c r="A575" s="2" t="s">
        <v>3121</v>
      </c>
      <c r="B575" s="2" t="s">
        <v>27</v>
      </c>
      <c r="C575" s="2" t="s">
        <v>3122</v>
      </c>
      <c r="D575" s="2" t="s">
        <v>3123</v>
      </c>
      <c r="E575" s="2" t="s">
        <v>3124</v>
      </c>
      <c r="F575" s="2" t="s">
        <v>3007</v>
      </c>
      <c r="G575" s="2" t="s">
        <v>3008</v>
      </c>
      <c r="H575" s="2" t="s">
        <v>3095</v>
      </c>
      <c r="I575" s="2" t="s">
        <v>3096</v>
      </c>
      <c r="J575" s="2" t="s">
        <v>2670</v>
      </c>
      <c r="K575" s="2" t="s">
        <v>0</v>
      </c>
      <c r="L575" s="2" t="s">
        <v>2661</v>
      </c>
      <c r="M575" s="2" t="s">
        <v>2662</v>
      </c>
      <c r="N575" s="2" t="s">
        <v>12</v>
      </c>
      <c r="O575" s="2" t="s">
        <v>0</v>
      </c>
      <c r="P575" s="2" t="s">
        <v>14</v>
      </c>
      <c r="Q575" s="2" t="s">
        <v>1346</v>
      </c>
      <c r="R575" s="2" t="s">
        <v>2994</v>
      </c>
      <c r="S575" s="2" t="s">
        <v>3097</v>
      </c>
      <c r="T575" s="2" t="s">
        <v>35</v>
      </c>
      <c r="U575" s="2" t="s">
        <v>0</v>
      </c>
    </row>
    <row r="576" spans="1:21">
      <c r="A576" s="2" t="s">
        <v>3125</v>
      </c>
      <c r="B576" s="2" t="s">
        <v>27</v>
      </c>
      <c r="C576" s="2" t="s">
        <v>1881</v>
      </c>
      <c r="D576" s="2" t="s">
        <v>3126</v>
      </c>
      <c r="E576" s="2" t="s">
        <v>3127</v>
      </c>
      <c r="F576" s="2" t="s">
        <v>2952</v>
      </c>
      <c r="G576" s="2" t="s">
        <v>2953</v>
      </c>
      <c r="H576" s="2" t="s">
        <v>3128</v>
      </c>
      <c r="I576" s="2" t="s">
        <v>3129</v>
      </c>
      <c r="J576" s="2" t="s">
        <v>2684</v>
      </c>
      <c r="K576" s="2" t="s">
        <v>0</v>
      </c>
      <c r="L576" s="2" t="s">
        <v>2661</v>
      </c>
      <c r="M576" s="2" t="s">
        <v>2662</v>
      </c>
      <c r="N576" s="2" t="s">
        <v>12</v>
      </c>
      <c r="O576" s="2" t="s">
        <v>0</v>
      </c>
      <c r="P576" s="2" t="s">
        <v>14</v>
      </c>
      <c r="Q576" s="2" t="s">
        <v>15</v>
      </c>
      <c r="R576" s="2" t="s">
        <v>3130</v>
      </c>
      <c r="S576" s="2" t="s">
        <v>3131</v>
      </c>
      <c r="T576" s="2" t="s">
        <v>35</v>
      </c>
      <c r="U576" s="2" t="s">
        <v>0</v>
      </c>
    </row>
    <row r="577" spans="1:21">
      <c r="A577" s="2" t="s">
        <v>3132</v>
      </c>
      <c r="B577" s="2" t="s">
        <v>27</v>
      </c>
      <c r="C577" s="2" t="s">
        <v>2537</v>
      </c>
      <c r="D577" s="2" t="s">
        <v>3133</v>
      </c>
      <c r="E577" s="2" t="s">
        <v>3134</v>
      </c>
      <c r="F577" s="2" t="s">
        <v>3001</v>
      </c>
      <c r="G577" s="2" t="s">
        <v>3002</v>
      </c>
      <c r="H577" s="2" t="s">
        <v>3128</v>
      </c>
      <c r="I577" s="2" t="s">
        <v>3129</v>
      </c>
      <c r="J577" s="2" t="s">
        <v>2684</v>
      </c>
      <c r="K577" s="2" t="s">
        <v>0</v>
      </c>
      <c r="L577" s="2" t="s">
        <v>2661</v>
      </c>
      <c r="M577" s="2" t="s">
        <v>2662</v>
      </c>
      <c r="N577" s="2" t="s">
        <v>12</v>
      </c>
      <c r="O577" s="2" t="s">
        <v>0</v>
      </c>
      <c r="P577" s="2" t="s">
        <v>14</v>
      </c>
      <c r="Q577" s="2" t="s">
        <v>15</v>
      </c>
      <c r="R577" s="2" t="s">
        <v>3130</v>
      </c>
      <c r="S577" s="2" t="s">
        <v>3131</v>
      </c>
      <c r="T577" s="2" t="s">
        <v>35</v>
      </c>
      <c r="U577" s="2" t="s">
        <v>3135</v>
      </c>
    </row>
    <row r="578" spans="1:21">
      <c r="A578" s="2" t="s">
        <v>3136</v>
      </c>
      <c r="B578" s="2" t="s">
        <v>27</v>
      </c>
      <c r="C578" s="2" t="s">
        <v>3137</v>
      </c>
      <c r="D578" s="2" t="s">
        <v>3138</v>
      </c>
      <c r="E578" s="2" t="s">
        <v>3139</v>
      </c>
      <c r="F578" s="2" t="s">
        <v>3007</v>
      </c>
      <c r="G578" s="2" t="s">
        <v>3008</v>
      </c>
      <c r="H578" s="2" t="s">
        <v>3128</v>
      </c>
      <c r="I578" s="2" t="s">
        <v>3129</v>
      </c>
      <c r="J578" s="2" t="s">
        <v>2684</v>
      </c>
      <c r="K578" s="2" t="s">
        <v>0</v>
      </c>
      <c r="L578" s="2" t="s">
        <v>2661</v>
      </c>
      <c r="M578" s="2" t="s">
        <v>2662</v>
      </c>
      <c r="N578" s="2" t="s">
        <v>12</v>
      </c>
      <c r="O578" s="2" t="s">
        <v>0</v>
      </c>
      <c r="P578" s="2" t="s">
        <v>14</v>
      </c>
      <c r="Q578" s="2" t="s">
        <v>15</v>
      </c>
      <c r="R578" s="2" t="s">
        <v>3130</v>
      </c>
      <c r="S578" s="2" t="s">
        <v>3131</v>
      </c>
      <c r="T578" s="2" t="s">
        <v>35</v>
      </c>
      <c r="U578" s="2" t="s">
        <v>3140</v>
      </c>
    </row>
    <row r="579" spans="1:21">
      <c r="A579" s="2" t="s">
        <v>3141</v>
      </c>
      <c r="B579" s="2" t="s">
        <v>27</v>
      </c>
      <c r="C579" s="2" t="s">
        <v>3142</v>
      </c>
      <c r="D579" s="2" t="s">
        <v>3143</v>
      </c>
      <c r="E579" s="2" t="s">
        <v>3144</v>
      </c>
      <c r="F579" s="2" t="s">
        <v>3007</v>
      </c>
      <c r="G579" s="2" t="s">
        <v>3008</v>
      </c>
      <c r="H579" s="2" t="s">
        <v>3128</v>
      </c>
      <c r="I579" s="2" t="s">
        <v>3129</v>
      </c>
      <c r="J579" s="2" t="s">
        <v>2684</v>
      </c>
      <c r="K579" s="2" t="s">
        <v>0</v>
      </c>
      <c r="L579" s="2" t="s">
        <v>2661</v>
      </c>
      <c r="M579" s="2" t="s">
        <v>2662</v>
      </c>
      <c r="N579" s="2" t="s">
        <v>12</v>
      </c>
      <c r="O579" s="2" t="s">
        <v>0</v>
      </c>
      <c r="P579" s="2" t="s">
        <v>14</v>
      </c>
      <c r="Q579" s="2" t="s">
        <v>15</v>
      </c>
      <c r="R579" s="2" t="s">
        <v>3130</v>
      </c>
      <c r="S579" s="2" t="s">
        <v>3131</v>
      </c>
      <c r="T579" s="2" t="s">
        <v>35</v>
      </c>
      <c r="U579" s="2" t="s">
        <v>0</v>
      </c>
    </row>
    <row r="580" spans="1:21">
      <c r="A580" s="2" t="s">
        <v>3145</v>
      </c>
      <c r="B580" s="2" t="s">
        <v>27</v>
      </c>
      <c r="C580" s="2" t="s">
        <v>3146</v>
      </c>
      <c r="D580" s="2" t="s">
        <v>3147</v>
      </c>
      <c r="E580" s="2" t="s">
        <v>3148</v>
      </c>
      <c r="F580" s="2" t="s">
        <v>3007</v>
      </c>
      <c r="G580" s="2" t="s">
        <v>3008</v>
      </c>
      <c r="H580" s="2" t="s">
        <v>3128</v>
      </c>
      <c r="I580" s="2" t="s">
        <v>3129</v>
      </c>
      <c r="J580" s="2" t="s">
        <v>2684</v>
      </c>
      <c r="K580" s="2" t="s">
        <v>0</v>
      </c>
      <c r="L580" s="2" t="s">
        <v>2661</v>
      </c>
      <c r="M580" s="2" t="s">
        <v>2662</v>
      </c>
      <c r="N580" s="2" t="s">
        <v>12</v>
      </c>
      <c r="O580" s="2" t="s">
        <v>0</v>
      </c>
      <c r="P580" s="2" t="s">
        <v>14</v>
      </c>
      <c r="Q580" s="2" t="s">
        <v>15</v>
      </c>
      <c r="R580" s="2" t="s">
        <v>3130</v>
      </c>
      <c r="S580" s="2" t="s">
        <v>3131</v>
      </c>
      <c r="T580" s="2" t="s">
        <v>35</v>
      </c>
      <c r="U580" s="2" t="s">
        <v>0</v>
      </c>
    </row>
    <row r="581" spans="1:21">
      <c r="A581" s="2" t="s">
        <v>3149</v>
      </c>
      <c r="B581" s="2" t="s">
        <v>27</v>
      </c>
      <c r="C581" s="2" t="s">
        <v>903</v>
      </c>
      <c r="D581" s="2" t="s">
        <v>3150</v>
      </c>
      <c r="E581" s="2" t="s">
        <v>3151</v>
      </c>
      <c r="F581" s="2" t="s">
        <v>2952</v>
      </c>
      <c r="G581" s="2" t="s">
        <v>2953</v>
      </c>
      <c r="H581" s="2" t="s">
        <v>3152</v>
      </c>
      <c r="I581" s="2" t="s">
        <v>3153</v>
      </c>
      <c r="J581" s="2" t="s">
        <v>2684</v>
      </c>
      <c r="K581" s="2" t="s">
        <v>0</v>
      </c>
      <c r="L581" s="2" t="s">
        <v>2661</v>
      </c>
      <c r="M581" s="2" t="s">
        <v>2662</v>
      </c>
      <c r="N581" s="2" t="s">
        <v>12</v>
      </c>
      <c r="O581" s="2" t="s">
        <v>0</v>
      </c>
      <c r="P581" s="2" t="s">
        <v>14</v>
      </c>
      <c r="Q581" s="2" t="s">
        <v>15</v>
      </c>
      <c r="R581" s="2" t="s">
        <v>3130</v>
      </c>
      <c r="S581" s="2" t="s">
        <v>3154</v>
      </c>
      <c r="T581" s="2" t="s">
        <v>35</v>
      </c>
      <c r="U581" s="2" t="s">
        <v>3155</v>
      </c>
    </row>
    <row r="582" spans="1:21">
      <c r="A582" s="2" t="s">
        <v>3156</v>
      </c>
      <c r="B582" s="2" t="s">
        <v>27</v>
      </c>
      <c r="C582" s="2" t="s">
        <v>3157</v>
      </c>
      <c r="D582" s="2" t="s">
        <v>3158</v>
      </c>
      <c r="E582" s="2" t="s">
        <v>3159</v>
      </c>
      <c r="F582" s="2" t="s">
        <v>3001</v>
      </c>
      <c r="G582" s="2" t="s">
        <v>3002</v>
      </c>
      <c r="H582" s="2" t="s">
        <v>3152</v>
      </c>
      <c r="I582" s="2" t="s">
        <v>3153</v>
      </c>
      <c r="J582" s="2" t="s">
        <v>2684</v>
      </c>
      <c r="K582" s="2" t="s">
        <v>0</v>
      </c>
      <c r="L582" s="2" t="s">
        <v>2661</v>
      </c>
      <c r="M582" s="2" t="s">
        <v>2662</v>
      </c>
      <c r="N582" s="2" t="s">
        <v>12</v>
      </c>
      <c r="O582" s="2" t="s">
        <v>0</v>
      </c>
      <c r="P582" s="2" t="s">
        <v>14</v>
      </c>
      <c r="Q582" s="2" t="s">
        <v>15</v>
      </c>
      <c r="R582" s="2" t="s">
        <v>3130</v>
      </c>
      <c r="S582" s="2" t="s">
        <v>3154</v>
      </c>
      <c r="T582" s="2" t="s">
        <v>35</v>
      </c>
      <c r="U582" s="2" t="s">
        <v>3160</v>
      </c>
    </row>
    <row r="583" spans="1:21">
      <c r="A583" s="2" t="s">
        <v>3161</v>
      </c>
      <c r="B583" s="2" t="s">
        <v>27</v>
      </c>
      <c r="C583" s="2" t="s">
        <v>3162</v>
      </c>
      <c r="D583" s="2" t="s">
        <v>3163</v>
      </c>
      <c r="E583" s="2" t="s">
        <v>3164</v>
      </c>
      <c r="F583" s="2" t="s">
        <v>3007</v>
      </c>
      <c r="G583" s="2" t="s">
        <v>3008</v>
      </c>
      <c r="H583" s="2" t="s">
        <v>3152</v>
      </c>
      <c r="I583" s="2" t="s">
        <v>3153</v>
      </c>
      <c r="J583" s="2" t="s">
        <v>2684</v>
      </c>
      <c r="K583" s="2" t="s">
        <v>0</v>
      </c>
      <c r="L583" s="2" t="s">
        <v>2661</v>
      </c>
      <c r="M583" s="2" t="s">
        <v>2662</v>
      </c>
      <c r="N583" s="2" t="s">
        <v>12</v>
      </c>
      <c r="O583" s="2" t="s">
        <v>0</v>
      </c>
      <c r="P583" s="2" t="s">
        <v>14</v>
      </c>
      <c r="Q583" s="2" t="s">
        <v>15</v>
      </c>
      <c r="R583" s="2" t="s">
        <v>3130</v>
      </c>
      <c r="S583" s="2" t="s">
        <v>3154</v>
      </c>
      <c r="T583" s="2" t="s">
        <v>35</v>
      </c>
      <c r="U583" s="2" t="s">
        <v>0</v>
      </c>
    </row>
    <row r="584" spans="1:21">
      <c r="A584" s="2" t="s">
        <v>3165</v>
      </c>
      <c r="B584" s="2" t="s">
        <v>27</v>
      </c>
      <c r="C584" s="2" t="s">
        <v>3166</v>
      </c>
      <c r="D584" s="2" t="s">
        <v>3167</v>
      </c>
      <c r="E584" s="2" t="s">
        <v>3168</v>
      </c>
      <c r="F584" s="2" t="s">
        <v>3007</v>
      </c>
      <c r="G584" s="2" t="s">
        <v>3008</v>
      </c>
      <c r="H584" s="2" t="s">
        <v>3152</v>
      </c>
      <c r="I584" s="2" t="s">
        <v>3153</v>
      </c>
      <c r="J584" s="2" t="s">
        <v>2684</v>
      </c>
      <c r="K584" s="2" t="s">
        <v>0</v>
      </c>
      <c r="L584" s="2" t="s">
        <v>2661</v>
      </c>
      <c r="M584" s="2" t="s">
        <v>2662</v>
      </c>
      <c r="N584" s="2" t="s">
        <v>12</v>
      </c>
      <c r="O584" s="2" t="s">
        <v>0</v>
      </c>
      <c r="P584" s="2" t="s">
        <v>14</v>
      </c>
      <c r="Q584" s="2" t="s">
        <v>15</v>
      </c>
      <c r="R584" s="2" t="s">
        <v>3130</v>
      </c>
      <c r="S584" s="2" t="s">
        <v>3154</v>
      </c>
      <c r="T584" s="2" t="s">
        <v>35</v>
      </c>
      <c r="U584" s="2" t="s">
        <v>3169</v>
      </c>
    </row>
    <row r="585" spans="1:21">
      <c r="A585" s="2" t="s">
        <v>3170</v>
      </c>
      <c r="B585" s="2" t="s">
        <v>27</v>
      </c>
      <c r="C585" s="2" t="s">
        <v>3171</v>
      </c>
      <c r="D585" s="2" t="s">
        <v>3172</v>
      </c>
      <c r="E585" s="2" t="s">
        <v>3173</v>
      </c>
      <c r="F585" s="2" t="s">
        <v>3007</v>
      </c>
      <c r="G585" s="2" t="s">
        <v>3008</v>
      </c>
      <c r="H585" s="2" t="s">
        <v>3152</v>
      </c>
      <c r="I585" s="2" t="s">
        <v>3153</v>
      </c>
      <c r="J585" s="2" t="s">
        <v>2684</v>
      </c>
      <c r="K585" s="2" t="s">
        <v>0</v>
      </c>
      <c r="L585" s="2" t="s">
        <v>2661</v>
      </c>
      <c r="M585" s="2" t="s">
        <v>2662</v>
      </c>
      <c r="N585" s="2" t="s">
        <v>12</v>
      </c>
      <c r="O585" s="2" t="s">
        <v>0</v>
      </c>
      <c r="P585" s="2" t="s">
        <v>14</v>
      </c>
      <c r="Q585" s="2" t="s">
        <v>15</v>
      </c>
      <c r="R585" s="2" t="s">
        <v>3130</v>
      </c>
      <c r="S585" s="2" t="s">
        <v>3154</v>
      </c>
      <c r="T585" s="2" t="s">
        <v>35</v>
      </c>
      <c r="U585" s="2" t="s">
        <v>3174</v>
      </c>
    </row>
    <row r="586" spans="1:21">
      <c r="A586" s="2" t="s">
        <v>3175</v>
      </c>
      <c r="B586" s="2" t="s">
        <v>27</v>
      </c>
      <c r="C586" s="2" t="s">
        <v>3176</v>
      </c>
      <c r="D586" s="2" t="s">
        <v>3177</v>
      </c>
      <c r="E586" s="2" t="s">
        <v>3178</v>
      </c>
      <c r="F586" s="2" t="s">
        <v>2952</v>
      </c>
      <c r="G586" s="2" t="s">
        <v>2953</v>
      </c>
      <c r="H586" s="2" t="s">
        <v>3179</v>
      </c>
      <c r="I586" s="2" t="s">
        <v>3180</v>
      </c>
      <c r="J586" s="2" t="s">
        <v>2684</v>
      </c>
      <c r="K586" s="2" t="s">
        <v>0</v>
      </c>
      <c r="L586" s="2" t="s">
        <v>2661</v>
      </c>
      <c r="M586" s="2" t="s">
        <v>2662</v>
      </c>
      <c r="N586" s="2" t="s">
        <v>12</v>
      </c>
      <c r="O586" s="2" t="s">
        <v>0</v>
      </c>
      <c r="P586" s="2" t="s">
        <v>14</v>
      </c>
      <c r="Q586" s="2" t="s">
        <v>15</v>
      </c>
      <c r="R586" s="2" t="s">
        <v>3130</v>
      </c>
      <c r="S586" s="2" t="s">
        <v>3181</v>
      </c>
      <c r="T586" s="2" t="s">
        <v>35</v>
      </c>
      <c r="U586" s="2" t="s">
        <v>3182</v>
      </c>
    </row>
    <row r="587" spans="1:21">
      <c r="A587" s="2" t="s">
        <v>3183</v>
      </c>
      <c r="B587" s="2" t="s">
        <v>27</v>
      </c>
      <c r="C587" s="2" t="s">
        <v>3184</v>
      </c>
      <c r="D587" s="2" t="s">
        <v>3185</v>
      </c>
      <c r="E587" s="2" t="s">
        <v>3186</v>
      </c>
      <c r="F587" s="2" t="s">
        <v>3001</v>
      </c>
      <c r="G587" s="2" t="s">
        <v>3002</v>
      </c>
      <c r="H587" s="2" t="s">
        <v>3179</v>
      </c>
      <c r="I587" s="2" t="s">
        <v>3180</v>
      </c>
      <c r="J587" s="2" t="s">
        <v>2684</v>
      </c>
      <c r="K587" s="2" t="s">
        <v>0</v>
      </c>
      <c r="L587" s="2" t="s">
        <v>2661</v>
      </c>
      <c r="M587" s="2" t="s">
        <v>2662</v>
      </c>
      <c r="N587" s="2" t="s">
        <v>12</v>
      </c>
      <c r="O587" s="2" t="s">
        <v>0</v>
      </c>
      <c r="P587" s="2" t="s">
        <v>14</v>
      </c>
      <c r="Q587" s="2" t="s">
        <v>15</v>
      </c>
      <c r="R587" s="2" t="s">
        <v>3130</v>
      </c>
      <c r="S587" s="2" t="s">
        <v>3181</v>
      </c>
      <c r="T587" s="2" t="s">
        <v>35</v>
      </c>
      <c r="U587" s="2" t="s">
        <v>0</v>
      </c>
    </row>
    <row r="588" spans="1:21">
      <c r="A588" s="2" t="s">
        <v>3187</v>
      </c>
      <c r="B588" s="2" t="s">
        <v>27</v>
      </c>
      <c r="C588" s="2" t="s">
        <v>3188</v>
      </c>
      <c r="D588" s="2" t="s">
        <v>3189</v>
      </c>
      <c r="E588" s="2" t="s">
        <v>3190</v>
      </c>
      <c r="F588" s="2" t="s">
        <v>3007</v>
      </c>
      <c r="G588" s="2" t="s">
        <v>3008</v>
      </c>
      <c r="H588" s="2" t="s">
        <v>3179</v>
      </c>
      <c r="I588" s="2" t="s">
        <v>3180</v>
      </c>
      <c r="J588" s="2" t="s">
        <v>2684</v>
      </c>
      <c r="K588" s="2" t="s">
        <v>0</v>
      </c>
      <c r="L588" s="2" t="s">
        <v>2661</v>
      </c>
      <c r="M588" s="2" t="s">
        <v>2662</v>
      </c>
      <c r="N588" s="2" t="s">
        <v>12</v>
      </c>
      <c r="O588" s="2" t="s">
        <v>0</v>
      </c>
      <c r="P588" s="2" t="s">
        <v>14</v>
      </c>
      <c r="Q588" s="2" t="s">
        <v>15</v>
      </c>
      <c r="R588" s="2" t="s">
        <v>3130</v>
      </c>
      <c r="S588" s="2" t="s">
        <v>3181</v>
      </c>
      <c r="T588" s="2" t="s">
        <v>35</v>
      </c>
      <c r="U588" s="2" t="s">
        <v>3191</v>
      </c>
    </row>
    <row r="589" spans="1:21">
      <c r="A589" s="2" t="s">
        <v>3192</v>
      </c>
      <c r="B589" s="2" t="s">
        <v>27</v>
      </c>
      <c r="C589" s="2" t="s">
        <v>2253</v>
      </c>
      <c r="D589" s="2" t="s">
        <v>3185</v>
      </c>
      <c r="E589" s="2" t="s">
        <v>3193</v>
      </c>
      <c r="F589" s="2" t="s">
        <v>3007</v>
      </c>
      <c r="G589" s="2" t="s">
        <v>3008</v>
      </c>
      <c r="H589" s="2" t="s">
        <v>3179</v>
      </c>
      <c r="I589" s="2" t="s">
        <v>3180</v>
      </c>
      <c r="J589" s="2" t="s">
        <v>2684</v>
      </c>
      <c r="K589" s="2" t="s">
        <v>0</v>
      </c>
      <c r="L589" s="2" t="s">
        <v>2661</v>
      </c>
      <c r="M589" s="2" t="s">
        <v>2662</v>
      </c>
      <c r="N589" s="2" t="s">
        <v>12</v>
      </c>
      <c r="O589" s="2" t="s">
        <v>0</v>
      </c>
      <c r="P589" s="2" t="s">
        <v>14</v>
      </c>
      <c r="Q589" s="2" t="s">
        <v>15</v>
      </c>
      <c r="R589" s="2" t="s">
        <v>3130</v>
      </c>
      <c r="S589" s="2" t="s">
        <v>3181</v>
      </c>
      <c r="T589" s="2" t="s">
        <v>35</v>
      </c>
      <c r="U589" s="2" t="s">
        <v>0</v>
      </c>
    </row>
    <row r="590" spans="1:21">
      <c r="A590" s="2" t="s">
        <v>3194</v>
      </c>
      <c r="B590" s="2" t="s">
        <v>27</v>
      </c>
      <c r="C590" s="2" t="s">
        <v>3195</v>
      </c>
      <c r="D590" s="2" t="s">
        <v>3196</v>
      </c>
      <c r="E590" s="2" t="s">
        <v>3197</v>
      </c>
      <c r="F590" s="2" t="s">
        <v>3007</v>
      </c>
      <c r="G590" s="2" t="s">
        <v>3008</v>
      </c>
      <c r="H590" s="2" t="s">
        <v>3179</v>
      </c>
      <c r="I590" s="2" t="s">
        <v>3180</v>
      </c>
      <c r="J590" s="2" t="s">
        <v>2684</v>
      </c>
      <c r="K590" s="2" t="s">
        <v>0</v>
      </c>
      <c r="L590" s="2" t="s">
        <v>2661</v>
      </c>
      <c r="M590" s="2" t="s">
        <v>2662</v>
      </c>
      <c r="N590" s="2" t="s">
        <v>12</v>
      </c>
      <c r="O590" s="2" t="s">
        <v>0</v>
      </c>
      <c r="P590" s="2" t="s">
        <v>14</v>
      </c>
      <c r="Q590" s="2" t="s">
        <v>15</v>
      </c>
      <c r="R590" s="2" t="s">
        <v>3130</v>
      </c>
      <c r="S590" s="2" t="s">
        <v>3181</v>
      </c>
      <c r="T590" s="2" t="s">
        <v>35</v>
      </c>
      <c r="U590" s="2" t="s">
        <v>0</v>
      </c>
    </row>
    <row r="591" spans="1:21">
      <c r="A591" s="2" t="s">
        <v>3198</v>
      </c>
      <c r="B591" s="2" t="s">
        <v>27</v>
      </c>
      <c r="C591" s="2" t="s">
        <v>3199</v>
      </c>
      <c r="D591" s="2" t="s">
        <v>3200</v>
      </c>
      <c r="E591" s="2" t="s">
        <v>3201</v>
      </c>
      <c r="F591" s="2" t="s">
        <v>2952</v>
      </c>
      <c r="G591" s="2" t="s">
        <v>2953</v>
      </c>
      <c r="H591" s="2" t="s">
        <v>3202</v>
      </c>
      <c r="I591" s="2" t="s">
        <v>3203</v>
      </c>
      <c r="J591" s="2" t="s">
        <v>2684</v>
      </c>
      <c r="K591" s="2" t="s">
        <v>0</v>
      </c>
      <c r="L591" s="2" t="s">
        <v>2661</v>
      </c>
      <c r="M591" s="2" t="s">
        <v>2662</v>
      </c>
      <c r="N591" s="2" t="s">
        <v>12</v>
      </c>
      <c r="O591" s="2" t="s">
        <v>0</v>
      </c>
      <c r="P591" s="2" t="s">
        <v>14</v>
      </c>
      <c r="Q591" s="2" t="s">
        <v>15</v>
      </c>
      <c r="R591" s="2" t="s">
        <v>3130</v>
      </c>
      <c r="S591" s="2" t="s">
        <v>3204</v>
      </c>
      <c r="T591" s="2" t="s">
        <v>35</v>
      </c>
      <c r="U591" s="2" t="s">
        <v>3205</v>
      </c>
    </row>
    <row r="592" spans="1:21">
      <c r="A592" s="2" t="s">
        <v>3206</v>
      </c>
      <c r="B592" s="2" t="s">
        <v>27</v>
      </c>
      <c r="C592" s="2" t="s">
        <v>3207</v>
      </c>
      <c r="D592" s="2" t="s">
        <v>3208</v>
      </c>
      <c r="E592" s="2" t="s">
        <v>3209</v>
      </c>
      <c r="F592" s="2" t="s">
        <v>3007</v>
      </c>
      <c r="G592" s="2" t="s">
        <v>3008</v>
      </c>
      <c r="H592" s="2" t="s">
        <v>3202</v>
      </c>
      <c r="I592" s="2" t="s">
        <v>3203</v>
      </c>
      <c r="J592" s="2" t="s">
        <v>2684</v>
      </c>
      <c r="K592" s="2" t="s">
        <v>0</v>
      </c>
      <c r="L592" s="2" t="s">
        <v>2661</v>
      </c>
      <c r="M592" s="2" t="s">
        <v>2662</v>
      </c>
      <c r="N592" s="2" t="s">
        <v>12</v>
      </c>
      <c r="O592" s="2" t="s">
        <v>0</v>
      </c>
      <c r="P592" s="2" t="s">
        <v>14</v>
      </c>
      <c r="Q592" s="2" t="s">
        <v>15</v>
      </c>
      <c r="R592" s="2" t="s">
        <v>3130</v>
      </c>
      <c r="S592" s="2" t="s">
        <v>3204</v>
      </c>
      <c r="T592" s="2" t="s">
        <v>35</v>
      </c>
      <c r="U592" s="2" t="s">
        <v>0</v>
      </c>
    </row>
    <row r="593" spans="1:21">
      <c r="A593" s="2" t="s">
        <v>3210</v>
      </c>
      <c r="B593" s="2" t="s">
        <v>27</v>
      </c>
      <c r="C593" s="2" t="s">
        <v>3211</v>
      </c>
      <c r="D593" s="2" t="s">
        <v>3212</v>
      </c>
      <c r="E593" s="2" t="s">
        <v>3213</v>
      </c>
      <c r="F593" s="2" t="s">
        <v>3007</v>
      </c>
      <c r="G593" s="2" t="s">
        <v>3008</v>
      </c>
      <c r="H593" s="2" t="s">
        <v>3202</v>
      </c>
      <c r="I593" s="2" t="s">
        <v>3203</v>
      </c>
      <c r="J593" s="2" t="s">
        <v>2684</v>
      </c>
      <c r="K593" s="2" t="s">
        <v>0</v>
      </c>
      <c r="L593" s="2" t="s">
        <v>2661</v>
      </c>
      <c r="M593" s="2" t="s">
        <v>2662</v>
      </c>
      <c r="N593" s="2" t="s">
        <v>12</v>
      </c>
      <c r="O593" s="2" t="s">
        <v>0</v>
      </c>
      <c r="P593" s="2" t="s">
        <v>14</v>
      </c>
      <c r="Q593" s="2" t="s">
        <v>15</v>
      </c>
      <c r="R593" s="2" t="s">
        <v>3130</v>
      </c>
      <c r="S593" s="2" t="s">
        <v>3204</v>
      </c>
      <c r="T593" s="2" t="s">
        <v>35</v>
      </c>
      <c r="U593" s="2" t="s">
        <v>3214</v>
      </c>
    </row>
    <row r="594" spans="1:21">
      <c r="A594" s="2" t="s">
        <v>3215</v>
      </c>
      <c r="B594" s="2" t="s">
        <v>27</v>
      </c>
      <c r="C594" s="2" t="s">
        <v>3216</v>
      </c>
      <c r="D594" s="2" t="s">
        <v>3217</v>
      </c>
      <c r="E594" s="2" t="s">
        <v>3218</v>
      </c>
      <c r="F594" s="2" t="s">
        <v>3007</v>
      </c>
      <c r="G594" s="2" t="s">
        <v>3008</v>
      </c>
      <c r="H594" s="2" t="s">
        <v>3202</v>
      </c>
      <c r="I594" s="2" t="s">
        <v>3203</v>
      </c>
      <c r="J594" s="2" t="s">
        <v>2684</v>
      </c>
      <c r="K594" s="2" t="s">
        <v>0</v>
      </c>
      <c r="L594" s="2" t="s">
        <v>2661</v>
      </c>
      <c r="M594" s="2" t="s">
        <v>2662</v>
      </c>
      <c r="N594" s="2" t="s">
        <v>12</v>
      </c>
      <c r="O594" s="2" t="s">
        <v>0</v>
      </c>
      <c r="P594" s="2" t="s">
        <v>14</v>
      </c>
      <c r="Q594" s="2" t="s">
        <v>15</v>
      </c>
      <c r="R594" s="2" t="s">
        <v>3130</v>
      </c>
      <c r="S594" s="2" t="s">
        <v>3204</v>
      </c>
      <c r="T594" s="2" t="s">
        <v>35</v>
      </c>
      <c r="U594" s="2" t="s">
        <v>3219</v>
      </c>
    </row>
    <row r="595" spans="1:21">
      <c r="A595" s="2" t="s">
        <v>3220</v>
      </c>
      <c r="B595" s="2" t="s">
        <v>27</v>
      </c>
      <c r="C595" s="2" t="s">
        <v>3221</v>
      </c>
      <c r="D595" s="2" t="s">
        <v>3222</v>
      </c>
      <c r="E595" s="2" t="s">
        <v>3223</v>
      </c>
      <c r="F595" s="2" t="s">
        <v>3001</v>
      </c>
      <c r="G595" s="2" t="s">
        <v>3002</v>
      </c>
      <c r="H595" s="2" t="s">
        <v>3202</v>
      </c>
      <c r="I595" s="2" t="s">
        <v>3203</v>
      </c>
      <c r="J595" s="2" t="s">
        <v>2684</v>
      </c>
      <c r="K595" s="2" t="s">
        <v>0</v>
      </c>
      <c r="L595" s="2" t="s">
        <v>2661</v>
      </c>
      <c r="M595" s="2" t="s">
        <v>2662</v>
      </c>
      <c r="N595" s="2" t="s">
        <v>12</v>
      </c>
      <c r="O595" s="2" t="s">
        <v>0</v>
      </c>
      <c r="P595" s="2" t="s">
        <v>14</v>
      </c>
      <c r="Q595" s="2" t="s">
        <v>878</v>
      </c>
      <c r="R595" s="2" t="s">
        <v>3130</v>
      </c>
      <c r="S595" s="2" t="s">
        <v>3204</v>
      </c>
      <c r="T595" s="2" t="s">
        <v>35</v>
      </c>
      <c r="U595" s="2" t="s">
        <v>3224</v>
      </c>
    </row>
    <row r="596" spans="1:21">
      <c r="A596" s="2" t="s">
        <v>3225</v>
      </c>
      <c r="B596" s="2" t="s">
        <v>27</v>
      </c>
      <c r="C596" s="2" t="s">
        <v>3226</v>
      </c>
      <c r="D596" s="2" t="s">
        <v>3227</v>
      </c>
      <c r="E596" s="2" t="s">
        <v>3228</v>
      </c>
      <c r="F596" s="2" t="s">
        <v>3001</v>
      </c>
      <c r="G596" s="2" t="s">
        <v>3002</v>
      </c>
      <c r="H596" s="2" t="s">
        <v>3229</v>
      </c>
      <c r="I596" s="2" t="s">
        <v>3230</v>
      </c>
      <c r="J596" s="2" t="s">
        <v>2698</v>
      </c>
      <c r="K596" s="2" t="s">
        <v>0</v>
      </c>
      <c r="L596" s="2" t="s">
        <v>2661</v>
      </c>
      <c r="M596" s="2" t="s">
        <v>2662</v>
      </c>
      <c r="N596" s="2" t="s">
        <v>12</v>
      </c>
      <c r="O596" s="2" t="s">
        <v>0</v>
      </c>
      <c r="P596" s="2" t="s">
        <v>14</v>
      </c>
      <c r="Q596" s="2" t="s">
        <v>1153</v>
      </c>
      <c r="R596" s="2" t="s">
        <v>3231</v>
      </c>
      <c r="S596" s="2" t="s">
        <v>3232</v>
      </c>
      <c r="T596" s="2" t="s">
        <v>35</v>
      </c>
      <c r="U596" s="2" t="s">
        <v>3233</v>
      </c>
    </row>
    <row r="597" spans="1:21">
      <c r="A597" s="2" t="s">
        <v>3234</v>
      </c>
      <c r="B597" s="2" t="s">
        <v>27</v>
      </c>
      <c r="C597" s="2" t="s">
        <v>3235</v>
      </c>
      <c r="D597" s="2" t="s">
        <v>3236</v>
      </c>
      <c r="E597" s="2" t="s">
        <v>3237</v>
      </c>
      <c r="F597" s="2" t="s">
        <v>2952</v>
      </c>
      <c r="G597" s="2" t="s">
        <v>2953</v>
      </c>
      <c r="H597" s="2" t="s">
        <v>3229</v>
      </c>
      <c r="I597" s="2" t="s">
        <v>3230</v>
      </c>
      <c r="J597" s="2" t="s">
        <v>2698</v>
      </c>
      <c r="K597" s="2" t="s">
        <v>0</v>
      </c>
      <c r="L597" s="2" t="s">
        <v>2661</v>
      </c>
      <c r="M597" s="2" t="s">
        <v>2662</v>
      </c>
      <c r="N597" s="2" t="s">
        <v>12</v>
      </c>
      <c r="O597" s="2" t="s">
        <v>0</v>
      </c>
      <c r="P597" s="2" t="s">
        <v>14</v>
      </c>
      <c r="Q597" s="2" t="s">
        <v>1153</v>
      </c>
      <c r="R597" s="2" t="s">
        <v>3231</v>
      </c>
      <c r="S597" s="2" t="s">
        <v>3232</v>
      </c>
      <c r="T597" s="2" t="s">
        <v>35</v>
      </c>
      <c r="U597" s="2" t="s">
        <v>3238</v>
      </c>
    </row>
    <row r="598" spans="1:21">
      <c r="A598" s="2" t="s">
        <v>3239</v>
      </c>
      <c r="B598" s="2" t="s">
        <v>27</v>
      </c>
      <c r="C598" s="2" t="s">
        <v>2274</v>
      </c>
      <c r="D598" s="2" t="s">
        <v>3240</v>
      </c>
      <c r="E598" s="2" t="s">
        <v>3241</v>
      </c>
      <c r="F598" s="2" t="s">
        <v>3007</v>
      </c>
      <c r="G598" s="2" t="s">
        <v>3008</v>
      </c>
      <c r="H598" s="2" t="s">
        <v>3229</v>
      </c>
      <c r="I598" s="2" t="s">
        <v>3230</v>
      </c>
      <c r="J598" s="2" t="s">
        <v>2698</v>
      </c>
      <c r="K598" s="2" t="s">
        <v>0</v>
      </c>
      <c r="L598" s="2" t="s">
        <v>2661</v>
      </c>
      <c r="M598" s="2" t="s">
        <v>2662</v>
      </c>
      <c r="N598" s="2" t="s">
        <v>12</v>
      </c>
      <c r="O598" s="2" t="s">
        <v>0</v>
      </c>
      <c r="P598" s="2" t="s">
        <v>14</v>
      </c>
      <c r="Q598" s="2" t="s">
        <v>1153</v>
      </c>
      <c r="R598" s="2" t="s">
        <v>3231</v>
      </c>
      <c r="S598" s="2" t="s">
        <v>3232</v>
      </c>
      <c r="T598" s="2" t="s">
        <v>35</v>
      </c>
      <c r="U598" s="2" t="s">
        <v>3242</v>
      </c>
    </row>
    <row r="599" spans="1:21">
      <c r="A599" s="2" t="s">
        <v>3243</v>
      </c>
      <c r="B599" s="2" t="s">
        <v>27</v>
      </c>
      <c r="C599" s="2" t="s">
        <v>3244</v>
      </c>
      <c r="D599" s="2" t="s">
        <v>3245</v>
      </c>
      <c r="E599" s="2" t="s">
        <v>3246</v>
      </c>
      <c r="F599" s="2" t="s">
        <v>3007</v>
      </c>
      <c r="G599" s="2" t="s">
        <v>3008</v>
      </c>
      <c r="H599" s="2" t="s">
        <v>3229</v>
      </c>
      <c r="I599" s="2" t="s">
        <v>3230</v>
      </c>
      <c r="J599" s="2" t="s">
        <v>2698</v>
      </c>
      <c r="K599" s="2" t="s">
        <v>0</v>
      </c>
      <c r="L599" s="2" t="s">
        <v>2661</v>
      </c>
      <c r="M599" s="2" t="s">
        <v>2662</v>
      </c>
      <c r="N599" s="2" t="s">
        <v>12</v>
      </c>
      <c r="O599" s="2" t="s">
        <v>0</v>
      </c>
      <c r="P599" s="2" t="s">
        <v>14</v>
      </c>
      <c r="Q599" s="2" t="s">
        <v>1153</v>
      </c>
      <c r="R599" s="2" t="s">
        <v>3231</v>
      </c>
      <c r="S599" s="2" t="s">
        <v>3232</v>
      </c>
      <c r="T599" s="2" t="s">
        <v>35</v>
      </c>
      <c r="U599" s="2" t="s">
        <v>3247</v>
      </c>
    </row>
    <row r="600" spans="1:21">
      <c r="A600" s="2" t="s">
        <v>3248</v>
      </c>
      <c r="B600" s="2" t="s">
        <v>27</v>
      </c>
      <c r="C600" s="2" t="s">
        <v>2100</v>
      </c>
      <c r="D600" s="2" t="s">
        <v>3249</v>
      </c>
      <c r="E600" s="2" t="s">
        <v>3250</v>
      </c>
      <c r="F600" s="2" t="s">
        <v>2952</v>
      </c>
      <c r="G600" s="2" t="s">
        <v>2953</v>
      </c>
      <c r="H600" s="2" t="s">
        <v>3251</v>
      </c>
      <c r="I600" s="2" t="s">
        <v>3252</v>
      </c>
      <c r="J600" s="2" t="s">
        <v>2698</v>
      </c>
      <c r="K600" s="2" t="s">
        <v>0</v>
      </c>
      <c r="L600" s="2" t="s">
        <v>2661</v>
      </c>
      <c r="M600" s="2" t="s">
        <v>2662</v>
      </c>
      <c r="N600" s="2" t="s">
        <v>12</v>
      </c>
      <c r="O600" s="2" t="s">
        <v>0</v>
      </c>
      <c r="P600" s="2" t="s">
        <v>14</v>
      </c>
      <c r="Q600" s="2" t="s">
        <v>1153</v>
      </c>
      <c r="R600" s="2" t="s">
        <v>3231</v>
      </c>
      <c r="S600" s="2" t="s">
        <v>3253</v>
      </c>
      <c r="T600" s="2" t="s">
        <v>35</v>
      </c>
      <c r="U600" s="2" t="s">
        <v>0</v>
      </c>
    </row>
    <row r="601" spans="1:21">
      <c r="A601" s="2" t="s">
        <v>3254</v>
      </c>
      <c r="B601" s="2" t="s">
        <v>27</v>
      </c>
      <c r="C601" s="2" t="s">
        <v>3255</v>
      </c>
      <c r="D601" s="2" t="s">
        <v>3256</v>
      </c>
      <c r="E601" s="2" t="s">
        <v>3257</v>
      </c>
      <c r="F601" s="2" t="s">
        <v>3001</v>
      </c>
      <c r="G601" s="2" t="s">
        <v>3002</v>
      </c>
      <c r="H601" s="2" t="s">
        <v>3251</v>
      </c>
      <c r="I601" s="2" t="s">
        <v>3252</v>
      </c>
      <c r="J601" s="2" t="s">
        <v>2698</v>
      </c>
      <c r="K601" s="2" t="s">
        <v>0</v>
      </c>
      <c r="L601" s="2" t="s">
        <v>2661</v>
      </c>
      <c r="M601" s="2" t="s">
        <v>2662</v>
      </c>
      <c r="N601" s="2" t="s">
        <v>12</v>
      </c>
      <c r="O601" s="2" t="s">
        <v>0</v>
      </c>
      <c r="P601" s="2" t="s">
        <v>14</v>
      </c>
      <c r="Q601" s="2" t="s">
        <v>1153</v>
      </c>
      <c r="R601" s="2" t="s">
        <v>3231</v>
      </c>
      <c r="S601" s="2" t="s">
        <v>3253</v>
      </c>
      <c r="T601" s="2" t="s">
        <v>35</v>
      </c>
      <c r="U601" s="2" t="s">
        <v>3258</v>
      </c>
    </row>
    <row r="602" spans="1:21">
      <c r="A602" s="2" t="s">
        <v>3259</v>
      </c>
      <c r="B602" s="2" t="s">
        <v>27</v>
      </c>
      <c r="C602" s="2" t="s">
        <v>178</v>
      </c>
      <c r="D602" s="2" t="s">
        <v>3260</v>
      </c>
      <c r="E602" s="2" t="s">
        <v>3261</v>
      </c>
      <c r="F602" s="2" t="s">
        <v>3007</v>
      </c>
      <c r="G602" s="2" t="s">
        <v>3008</v>
      </c>
      <c r="H602" s="2" t="s">
        <v>3251</v>
      </c>
      <c r="I602" s="2" t="s">
        <v>3252</v>
      </c>
      <c r="J602" s="2" t="s">
        <v>2698</v>
      </c>
      <c r="K602" s="2" t="s">
        <v>0</v>
      </c>
      <c r="L602" s="2" t="s">
        <v>2661</v>
      </c>
      <c r="M602" s="2" t="s">
        <v>2662</v>
      </c>
      <c r="N602" s="2" t="s">
        <v>12</v>
      </c>
      <c r="O602" s="2" t="s">
        <v>0</v>
      </c>
      <c r="P602" s="2" t="s">
        <v>14</v>
      </c>
      <c r="Q602" s="2" t="s">
        <v>1153</v>
      </c>
      <c r="R602" s="2" t="s">
        <v>3231</v>
      </c>
      <c r="S602" s="2" t="s">
        <v>3253</v>
      </c>
      <c r="T602" s="2" t="s">
        <v>35</v>
      </c>
      <c r="U602" s="2" t="s">
        <v>0</v>
      </c>
    </row>
    <row r="603" spans="1:21">
      <c r="A603" s="2" t="s">
        <v>3262</v>
      </c>
      <c r="B603" s="2" t="s">
        <v>27</v>
      </c>
      <c r="C603" s="2" t="s">
        <v>3263</v>
      </c>
      <c r="D603" s="2" t="s">
        <v>3264</v>
      </c>
      <c r="E603" s="2" t="s">
        <v>3265</v>
      </c>
      <c r="F603" s="2" t="s">
        <v>3007</v>
      </c>
      <c r="G603" s="2" t="s">
        <v>3008</v>
      </c>
      <c r="H603" s="2" t="s">
        <v>3251</v>
      </c>
      <c r="I603" s="2" t="s">
        <v>3252</v>
      </c>
      <c r="J603" s="2" t="s">
        <v>2698</v>
      </c>
      <c r="K603" s="2" t="s">
        <v>0</v>
      </c>
      <c r="L603" s="2" t="s">
        <v>2661</v>
      </c>
      <c r="M603" s="2" t="s">
        <v>2662</v>
      </c>
      <c r="N603" s="2" t="s">
        <v>12</v>
      </c>
      <c r="O603" s="2" t="s">
        <v>0</v>
      </c>
      <c r="P603" s="2" t="s">
        <v>14</v>
      </c>
      <c r="Q603" s="2" t="s">
        <v>1153</v>
      </c>
      <c r="R603" s="2" t="s">
        <v>3231</v>
      </c>
      <c r="S603" s="2" t="s">
        <v>3253</v>
      </c>
      <c r="T603" s="2" t="s">
        <v>35</v>
      </c>
      <c r="U603" s="2" t="s">
        <v>0</v>
      </c>
    </row>
    <row r="604" spans="1:21">
      <c r="A604" s="2" t="s">
        <v>3266</v>
      </c>
      <c r="B604" s="2" t="s">
        <v>27</v>
      </c>
      <c r="C604" s="2" t="s">
        <v>3267</v>
      </c>
      <c r="D604" s="2" t="s">
        <v>3268</v>
      </c>
      <c r="E604" s="2" t="s">
        <v>3269</v>
      </c>
      <c r="F604" s="2" t="s">
        <v>3001</v>
      </c>
      <c r="G604" s="2" t="s">
        <v>3002</v>
      </c>
      <c r="H604" s="2" t="s">
        <v>3270</v>
      </c>
      <c r="I604" s="2" t="s">
        <v>3271</v>
      </c>
      <c r="J604" s="2" t="s">
        <v>2698</v>
      </c>
      <c r="K604" s="2" t="s">
        <v>0</v>
      </c>
      <c r="L604" s="2" t="s">
        <v>2661</v>
      </c>
      <c r="M604" s="2" t="s">
        <v>2662</v>
      </c>
      <c r="N604" s="2" t="s">
        <v>12</v>
      </c>
      <c r="O604" s="2" t="s">
        <v>0</v>
      </c>
      <c r="P604" s="2" t="s">
        <v>14</v>
      </c>
      <c r="Q604" s="2" t="s">
        <v>1153</v>
      </c>
      <c r="R604" s="2" t="s">
        <v>3231</v>
      </c>
      <c r="S604" s="2" t="s">
        <v>3272</v>
      </c>
      <c r="T604" s="2" t="s">
        <v>35</v>
      </c>
      <c r="U604" s="2" t="s">
        <v>3273</v>
      </c>
    </row>
    <row r="605" spans="1:21">
      <c r="A605" s="2" t="s">
        <v>3274</v>
      </c>
      <c r="B605" s="2" t="s">
        <v>27</v>
      </c>
      <c r="C605" s="2" t="s">
        <v>3275</v>
      </c>
      <c r="D605" s="2" t="s">
        <v>3276</v>
      </c>
      <c r="E605" s="2" t="s">
        <v>3277</v>
      </c>
      <c r="F605" s="2" t="s">
        <v>2952</v>
      </c>
      <c r="G605" s="2" t="s">
        <v>2953</v>
      </c>
      <c r="H605" s="2" t="s">
        <v>3270</v>
      </c>
      <c r="I605" s="2" t="s">
        <v>3271</v>
      </c>
      <c r="J605" s="2" t="s">
        <v>2698</v>
      </c>
      <c r="K605" s="2" t="s">
        <v>0</v>
      </c>
      <c r="L605" s="2" t="s">
        <v>2661</v>
      </c>
      <c r="M605" s="2" t="s">
        <v>2662</v>
      </c>
      <c r="N605" s="2" t="s">
        <v>12</v>
      </c>
      <c r="O605" s="2" t="s">
        <v>0</v>
      </c>
      <c r="P605" s="2" t="s">
        <v>14</v>
      </c>
      <c r="Q605" s="2" t="s">
        <v>1153</v>
      </c>
      <c r="R605" s="2" t="s">
        <v>3231</v>
      </c>
      <c r="S605" s="2" t="s">
        <v>3272</v>
      </c>
      <c r="T605" s="2" t="s">
        <v>35</v>
      </c>
      <c r="U605" s="2" t="s">
        <v>3278</v>
      </c>
    </row>
    <row r="606" spans="1:21">
      <c r="A606" s="2" t="s">
        <v>3279</v>
      </c>
      <c r="B606" s="2" t="s">
        <v>27</v>
      </c>
      <c r="C606" s="2" t="s">
        <v>3280</v>
      </c>
      <c r="D606" s="2" t="s">
        <v>3281</v>
      </c>
      <c r="E606" s="2" t="s">
        <v>3282</v>
      </c>
      <c r="F606" s="2" t="s">
        <v>3007</v>
      </c>
      <c r="G606" s="2" t="s">
        <v>3008</v>
      </c>
      <c r="H606" s="2" t="s">
        <v>3270</v>
      </c>
      <c r="I606" s="2" t="s">
        <v>3271</v>
      </c>
      <c r="J606" s="2" t="s">
        <v>2698</v>
      </c>
      <c r="K606" s="2" t="s">
        <v>0</v>
      </c>
      <c r="L606" s="2" t="s">
        <v>2661</v>
      </c>
      <c r="M606" s="2" t="s">
        <v>2662</v>
      </c>
      <c r="N606" s="2" t="s">
        <v>12</v>
      </c>
      <c r="O606" s="2" t="s">
        <v>0</v>
      </c>
      <c r="P606" s="2" t="s">
        <v>14</v>
      </c>
      <c r="Q606" s="2" t="s">
        <v>1153</v>
      </c>
      <c r="R606" s="2" t="s">
        <v>3231</v>
      </c>
      <c r="S606" s="2" t="s">
        <v>3272</v>
      </c>
      <c r="T606" s="2" t="s">
        <v>35</v>
      </c>
      <c r="U606" s="2" t="s">
        <v>3283</v>
      </c>
    </row>
    <row r="607" spans="1:21">
      <c r="A607" s="2" t="s">
        <v>3284</v>
      </c>
      <c r="B607" s="2" t="s">
        <v>27</v>
      </c>
      <c r="C607" s="2" t="s">
        <v>3285</v>
      </c>
      <c r="D607" s="2" t="s">
        <v>3286</v>
      </c>
      <c r="E607" s="2" t="s">
        <v>3287</v>
      </c>
      <c r="F607" s="2" t="s">
        <v>3007</v>
      </c>
      <c r="G607" s="2" t="s">
        <v>3008</v>
      </c>
      <c r="H607" s="2" t="s">
        <v>3270</v>
      </c>
      <c r="I607" s="2" t="s">
        <v>3271</v>
      </c>
      <c r="J607" s="2" t="s">
        <v>2698</v>
      </c>
      <c r="K607" s="2" t="s">
        <v>0</v>
      </c>
      <c r="L607" s="2" t="s">
        <v>2661</v>
      </c>
      <c r="M607" s="2" t="s">
        <v>2662</v>
      </c>
      <c r="N607" s="2" t="s">
        <v>12</v>
      </c>
      <c r="O607" s="2" t="s">
        <v>0</v>
      </c>
      <c r="P607" s="2" t="s">
        <v>14</v>
      </c>
      <c r="Q607" s="2" t="s">
        <v>1153</v>
      </c>
      <c r="R607" s="2" t="s">
        <v>3231</v>
      </c>
      <c r="S607" s="2" t="s">
        <v>3272</v>
      </c>
      <c r="T607" s="2" t="s">
        <v>35</v>
      </c>
      <c r="U607" s="2" t="s">
        <v>3288</v>
      </c>
    </row>
    <row r="608" spans="1:21">
      <c r="A608" s="2" t="s">
        <v>3289</v>
      </c>
      <c r="B608" s="2" t="s">
        <v>27</v>
      </c>
      <c r="C608" s="2" t="s">
        <v>3290</v>
      </c>
      <c r="D608" s="2" t="s">
        <v>1517</v>
      </c>
      <c r="E608" s="2" t="s">
        <v>3291</v>
      </c>
      <c r="F608" s="2" t="s">
        <v>3001</v>
      </c>
      <c r="G608" s="2" t="s">
        <v>3002</v>
      </c>
      <c r="H608" s="2" t="s">
        <v>3292</v>
      </c>
      <c r="I608" s="2" t="s">
        <v>3293</v>
      </c>
      <c r="J608" s="2" t="s">
        <v>2698</v>
      </c>
      <c r="K608" s="2" t="s">
        <v>0</v>
      </c>
      <c r="L608" s="2" t="s">
        <v>2661</v>
      </c>
      <c r="M608" s="2" t="s">
        <v>2662</v>
      </c>
      <c r="N608" s="2" t="s">
        <v>12</v>
      </c>
      <c r="O608" s="2" t="s">
        <v>0</v>
      </c>
      <c r="P608" s="2" t="s">
        <v>14</v>
      </c>
      <c r="Q608" s="2" t="s">
        <v>1153</v>
      </c>
      <c r="R608" s="2" t="s">
        <v>3231</v>
      </c>
      <c r="S608" s="2" t="s">
        <v>3294</v>
      </c>
      <c r="T608" s="2" t="s">
        <v>35</v>
      </c>
      <c r="U608" s="2" t="s">
        <v>3295</v>
      </c>
    </row>
    <row r="609" spans="1:21">
      <c r="A609" s="2" t="s">
        <v>3296</v>
      </c>
      <c r="B609" s="2" t="s">
        <v>27</v>
      </c>
      <c r="C609" s="2" t="s">
        <v>3297</v>
      </c>
      <c r="D609" s="2" t="s">
        <v>3298</v>
      </c>
      <c r="E609" s="2" t="s">
        <v>3299</v>
      </c>
      <c r="F609" s="2" t="s">
        <v>2952</v>
      </c>
      <c r="G609" s="2" t="s">
        <v>2953</v>
      </c>
      <c r="H609" s="2" t="s">
        <v>3292</v>
      </c>
      <c r="I609" s="2" t="s">
        <v>3293</v>
      </c>
      <c r="J609" s="2" t="s">
        <v>2698</v>
      </c>
      <c r="K609" s="2" t="s">
        <v>0</v>
      </c>
      <c r="L609" s="2" t="s">
        <v>2661</v>
      </c>
      <c r="M609" s="2" t="s">
        <v>2662</v>
      </c>
      <c r="N609" s="2" t="s">
        <v>12</v>
      </c>
      <c r="O609" s="2" t="s">
        <v>0</v>
      </c>
      <c r="P609" s="2" t="s">
        <v>14</v>
      </c>
      <c r="Q609" s="2" t="s">
        <v>1153</v>
      </c>
      <c r="R609" s="2" t="s">
        <v>3231</v>
      </c>
      <c r="S609" s="2" t="s">
        <v>3294</v>
      </c>
      <c r="T609" s="2" t="s">
        <v>35</v>
      </c>
      <c r="U609" s="2" t="s">
        <v>0</v>
      </c>
    </row>
    <row r="610" spans="1:21">
      <c r="A610" s="2" t="s">
        <v>3300</v>
      </c>
      <c r="B610" s="2" t="s">
        <v>27</v>
      </c>
      <c r="C610" s="2" t="s">
        <v>3301</v>
      </c>
      <c r="D610" s="2" t="s">
        <v>3302</v>
      </c>
      <c r="E610" s="2" t="s">
        <v>3303</v>
      </c>
      <c r="F610" s="2" t="s">
        <v>3007</v>
      </c>
      <c r="G610" s="2" t="s">
        <v>3008</v>
      </c>
      <c r="H610" s="2" t="s">
        <v>3292</v>
      </c>
      <c r="I610" s="2" t="s">
        <v>3293</v>
      </c>
      <c r="J610" s="2" t="s">
        <v>2698</v>
      </c>
      <c r="K610" s="2" t="s">
        <v>0</v>
      </c>
      <c r="L610" s="2" t="s">
        <v>2661</v>
      </c>
      <c r="M610" s="2" t="s">
        <v>2662</v>
      </c>
      <c r="N610" s="2" t="s">
        <v>12</v>
      </c>
      <c r="O610" s="2" t="s">
        <v>0</v>
      </c>
      <c r="P610" s="2" t="s">
        <v>14</v>
      </c>
      <c r="Q610" s="2" t="s">
        <v>1153</v>
      </c>
      <c r="R610" s="2" t="s">
        <v>3231</v>
      </c>
      <c r="S610" s="2" t="s">
        <v>3294</v>
      </c>
      <c r="T610" s="2" t="s">
        <v>35</v>
      </c>
      <c r="U610" s="2" t="s">
        <v>3304</v>
      </c>
    </row>
    <row r="611" spans="1:21">
      <c r="A611" s="2" t="s">
        <v>3305</v>
      </c>
      <c r="B611" s="2" t="s">
        <v>27</v>
      </c>
      <c r="C611" s="2" t="s">
        <v>2163</v>
      </c>
      <c r="D611" s="2" t="s">
        <v>3306</v>
      </c>
      <c r="E611" s="2" t="s">
        <v>3307</v>
      </c>
      <c r="F611" s="2" t="s">
        <v>3007</v>
      </c>
      <c r="G611" s="2" t="s">
        <v>3008</v>
      </c>
      <c r="H611" s="2" t="s">
        <v>3292</v>
      </c>
      <c r="I611" s="2" t="s">
        <v>3293</v>
      </c>
      <c r="J611" s="2" t="s">
        <v>2698</v>
      </c>
      <c r="K611" s="2" t="s">
        <v>0</v>
      </c>
      <c r="L611" s="2" t="s">
        <v>2661</v>
      </c>
      <c r="M611" s="2" t="s">
        <v>2662</v>
      </c>
      <c r="N611" s="2" t="s">
        <v>12</v>
      </c>
      <c r="O611" s="2" t="s">
        <v>0</v>
      </c>
      <c r="P611" s="2" t="s">
        <v>14</v>
      </c>
      <c r="Q611" s="2" t="s">
        <v>1153</v>
      </c>
      <c r="R611" s="2" t="s">
        <v>3231</v>
      </c>
      <c r="S611" s="2" t="s">
        <v>3294</v>
      </c>
      <c r="T611" s="2" t="s">
        <v>35</v>
      </c>
      <c r="U611" s="2" t="s">
        <v>3308</v>
      </c>
    </row>
    <row r="612" spans="1:21">
      <c r="A612" s="2" t="s">
        <v>3309</v>
      </c>
      <c r="B612" s="2" t="s">
        <v>27</v>
      </c>
      <c r="C612" s="2" t="s">
        <v>3310</v>
      </c>
      <c r="D612" s="2" t="s">
        <v>3311</v>
      </c>
      <c r="E612" s="2" t="s">
        <v>3312</v>
      </c>
      <c r="F612" s="2" t="s">
        <v>3001</v>
      </c>
      <c r="G612" s="2" t="s">
        <v>3002</v>
      </c>
      <c r="H612" s="2" t="s">
        <v>3313</v>
      </c>
      <c r="I612" s="2" t="s">
        <v>3314</v>
      </c>
      <c r="J612" s="2" t="s">
        <v>2710</v>
      </c>
      <c r="K612" s="2" t="s">
        <v>0</v>
      </c>
      <c r="L612" s="2" t="s">
        <v>2661</v>
      </c>
      <c r="M612" s="2" t="s">
        <v>2662</v>
      </c>
      <c r="N612" s="2" t="s">
        <v>12</v>
      </c>
      <c r="O612" s="2" t="s">
        <v>0</v>
      </c>
      <c r="P612" s="2" t="s">
        <v>14</v>
      </c>
      <c r="Q612" s="2" t="s">
        <v>878</v>
      </c>
      <c r="R612" s="2" t="s">
        <v>3315</v>
      </c>
      <c r="S612" s="2" t="s">
        <v>3316</v>
      </c>
      <c r="T612" s="2" t="s">
        <v>35</v>
      </c>
      <c r="U612" s="2" t="s">
        <v>0</v>
      </c>
    </row>
    <row r="613" spans="1:21">
      <c r="A613" s="2" t="s">
        <v>3317</v>
      </c>
      <c r="B613" s="2" t="s">
        <v>27</v>
      </c>
      <c r="C613" s="2" t="s">
        <v>3318</v>
      </c>
      <c r="D613" s="2" t="s">
        <v>3319</v>
      </c>
      <c r="E613" s="2" t="s">
        <v>3320</v>
      </c>
      <c r="F613" s="2" t="s">
        <v>2952</v>
      </c>
      <c r="G613" s="2" t="s">
        <v>2953</v>
      </c>
      <c r="H613" s="2" t="s">
        <v>3313</v>
      </c>
      <c r="I613" s="2" t="s">
        <v>3314</v>
      </c>
      <c r="J613" s="2" t="s">
        <v>2710</v>
      </c>
      <c r="K613" s="2" t="s">
        <v>0</v>
      </c>
      <c r="L613" s="2" t="s">
        <v>2661</v>
      </c>
      <c r="M613" s="2" t="s">
        <v>2662</v>
      </c>
      <c r="N613" s="2" t="s">
        <v>12</v>
      </c>
      <c r="O613" s="2" t="s">
        <v>0</v>
      </c>
      <c r="P613" s="2" t="s">
        <v>14</v>
      </c>
      <c r="Q613" s="2" t="s">
        <v>878</v>
      </c>
      <c r="R613" s="2" t="s">
        <v>3315</v>
      </c>
      <c r="S613" s="2" t="s">
        <v>3316</v>
      </c>
      <c r="T613" s="2" t="s">
        <v>35</v>
      </c>
      <c r="U613" s="2" t="s">
        <v>3321</v>
      </c>
    </row>
    <row r="614" spans="1:21">
      <c r="A614" s="2" t="s">
        <v>3322</v>
      </c>
      <c r="B614" s="2" t="s">
        <v>27</v>
      </c>
      <c r="C614" s="2" t="s">
        <v>3323</v>
      </c>
      <c r="D614" s="2" t="s">
        <v>3324</v>
      </c>
      <c r="E614" s="2" t="s">
        <v>3325</v>
      </c>
      <c r="F614" s="2" t="s">
        <v>3007</v>
      </c>
      <c r="G614" s="2" t="s">
        <v>3008</v>
      </c>
      <c r="H614" s="2" t="s">
        <v>3313</v>
      </c>
      <c r="I614" s="2" t="s">
        <v>3314</v>
      </c>
      <c r="J614" s="2" t="s">
        <v>2710</v>
      </c>
      <c r="K614" s="2" t="s">
        <v>0</v>
      </c>
      <c r="L614" s="2" t="s">
        <v>2661</v>
      </c>
      <c r="M614" s="2" t="s">
        <v>2662</v>
      </c>
      <c r="N614" s="2" t="s">
        <v>12</v>
      </c>
      <c r="O614" s="2" t="s">
        <v>0</v>
      </c>
      <c r="P614" s="2" t="s">
        <v>14</v>
      </c>
      <c r="Q614" s="2" t="s">
        <v>878</v>
      </c>
      <c r="R614" s="2" t="s">
        <v>3315</v>
      </c>
      <c r="S614" s="2" t="s">
        <v>3316</v>
      </c>
      <c r="T614" s="2" t="s">
        <v>35</v>
      </c>
      <c r="U614" s="2" t="s">
        <v>0</v>
      </c>
    </row>
    <row r="615" spans="1:21">
      <c r="A615" s="2" t="s">
        <v>3326</v>
      </c>
      <c r="B615" s="2" t="s">
        <v>27</v>
      </c>
      <c r="C615" s="2" t="s">
        <v>3327</v>
      </c>
      <c r="D615" s="2" t="s">
        <v>3328</v>
      </c>
      <c r="E615" s="2" t="s">
        <v>3329</v>
      </c>
      <c r="F615" s="2" t="s">
        <v>3007</v>
      </c>
      <c r="G615" s="2" t="s">
        <v>3008</v>
      </c>
      <c r="H615" s="2" t="s">
        <v>3313</v>
      </c>
      <c r="I615" s="2" t="s">
        <v>3314</v>
      </c>
      <c r="J615" s="2" t="s">
        <v>2710</v>
      </c>
      <c r="K615" s="2" t="s">
        <v>0</v>
      </c>
      <c r="L615" s="2" t="s">
        <v>2661</v>
      </c>
      <c r="M615" s="2" t="s">
        <v>2662</v>
      </c>
      <c r="N615" s="2" t="s">
        <v>12</v>
      </c>
      <c r="O615" s="2" t="s">
        <v>0</v>
      </c>
      <c r="P615" s="2" t="s">
        <v>14</v>
      </c>
      <c r="Q615" s="2" t="s">
        <v>878</v>
      </c>
      <c r="R615" s="2" t="s">
        <v>3315</v>
      </c>
      <c r="S615" s="2" t="s">
        <v>3316</v>
      </c>
      <c r="T615" s="2" t="s">
        <v>35</v>
      </c>
      <c r="U615" s="2" t="s">
        <v>0</v>
      </c>
    </row>
    <row r="616" spans="1:21">
      <c r="A616" s="2" t="s">
        <v>3330</v>
      </c>
      <c r="B616" s="2" t="s">
        <v>27</v>
      </c>
      <c r="C616" s="2" t="s">
        <v>3331</v>
      </c>
      <c r="D616" s="2" t="s">
        <v>3332</v>
      </c>
      <c r="E616" s="2" t="s">
        <v>3333</v>
      </c>
      <c r="F616" s="2" t="s">
        <v>2952</v>
      </c>
      <c r="G616" s="2" t="s">
        <v>2953</v>
      </c>
      <c r="H616" s="2" t="s">
        <v>3334</v>
      </c>
      <c r="I616" s="2" t="s">
        <v>3335</v>
      </c>
      <c r="J616" s="2" t="s">
        <v>2710</v>
      </c>
      <c r="K616" s="2" t="s">
        <v>0</v>
      </c>
      <c r="L616" s="2" t="s">
        <v>2661</v>
      </c>
      <c r="M616" s="2" t="s">
        <v>2662</v>
      </c>
      <c r="N616" s="2" t="s">
        <v>12</v>
      </c>
      <c r="O616" s="2" t="s">
        <v>0</v>
      </c>
      <c r="P616" s="2" t="s">
        <v>14</v>
      </c>
      <c r="Q616" s="2" t="s">
        <v>878</v>
      </c>
      <c r="R616" s="2" t="s">
        <v>3315</v>
      </c>
      <c r="S616" s="2" t="s">
        <v>3336</v>
      </c>
      <c r="T616" s="2" t="s">
        <v>35</v>
      </c>
      <c r="U616" s="2" t="s">
        <v>3337</v>
      </c>
    </row>
    <row r="617" spans="1:21">
      <c r="A617" s="2" t="s">
        <v>3338</v>
      </c>
      <c r="B617" s="2" t="s">
        <v>27</v>
      </c>
      <c r="C617" s="2" t="s">
        <v>622</v>
      </c>
      <c r="D617" s="2" t="s">
        <v>3339</v>
      </c>
      <c r="E617" s="2" t="s">
        <v>3340</v>
      </c>
      <c r="F617" s="2" t="s">
        <v>3007</v>
      </c>
      <c r="G617" s="2" t="s">
        <v>3008</v>
      </c>
      <c r="H617" s="2" t="s">
        <v>3334</v>
      </c>
      <c r="I617" s="2" t="s">
        <v>3335</v>
      </c>
      <c r="J617" s="2" t="s">
        <v>2710</v>
      </c>
      <c r="K617" s="2" t="s">
        <v>0</v>
      </c>
      <c r="L617" s="2" t="s">
        <v>2661</v>
      </c>
      <c r="M617" s="2" t="s">
        <v>2662</v>
      </c>
      <c r="N617" s="2" t="s">
        <v>12</v>
      </c>
      <c r="O617" s="2" t="s">
        <v>0</v>
      </c>
      <c r="P617" s="2" t="s">
        <v>14</v>
      </c>
      <c r="Q617" s="2" t="s">
        <v>878</v>
      </c>
      <c r="R617" s="2" t="s">
        <v>3315</v>
      </c>
      <c r="S617" s="2" t="s">
        <v>3336</v>
      </c>
      <c r="T617" s="2" t="s">
        <v>35</v>
      </c>
      <c r="U617" s="2" t="s">
        <v>3341</v>
      </c>
    </row>
    <row r="618" spans="1:21">
      <c r="A618" s="2" t="s">
        <v>3342</v>
      </c>
      <c r="B618" s="2" t="s">
        <v>27</v>
      </c>
      <c r="C618" s="2" t="s">
        <v>3343</v>
      </c>
      <c r="D618" s="2" t="s">
        <v>3344</v>
      </c>
      <c r="E618" s="2" t="s">
        <v>3345</v>
      </c>
      <c r="F618" s="2" t="s">
        <v>3001</v>
      </c>
      <c r="G618" s="2" t="s">
        <v>3002</v>
      </c>
      <c r="H618" s="2" t="s">
        <v>3334</v>
      </c>
      <c r="I618" s="2" t="s">
        <v>3335</v>
      </c>
      <c r="J618" s="2" t="s">
        <v>2710</v>
      </c>
      <c r="K618" s="2" t="s">
        <v>0</v>
      </c>
      <c r="L618" s="2" t="s">
        <v>2661</v>
      </c>
      <c r="M618" s="2" t="s">
        <v>2662</v>
      </c>
      <c r="N618" s="2" t="s">
        <v>12</v>
      </c>
      <c r="O618" s="2" t="s">
        <v>0</v>
      </c>
      <c r="P618" s="2" t="s">
        <v>14</v>
      </c>
      <c r="Q618" s="2" t="s">
        <v>878</v>
      </c>
      <c r="R618" s="2" t="s">
        <v>3315</v>
      </c>
      <c r="S618" s="2" t="s">
        <v>3336</v>
      </c>
      <c r="T618" s="2" t="s">
        <v>35</v>
      </c>
      <c r="U618" s="2" t="s">
        <v>3346</v>
      </c>
    </row>
    <row r="619" spans="1:21">
      <c r="A619" s="2" t="s">
        <v>3347</v>
      </c>
      <c r="B619" s="2" t="s">
        <v>27</v>
      </c>
      <c r="C619" s="2" t="s">
        <v>3348</v>
      </c>
      <c r="D619" s="2" t="s">
        <v>3349</v>
      </c>
      <c r="E619" s="2" t="s">
        <v>3350</v>
      </c>
      <c r="F619" s="2" t="s">
        <v>3007</v>
      </c>
      <c r="G619" s="2" t="s">
        <v>3008</v>
      </c>
      <c r="H619" s="2" t="s">
        <v>3334</v>
      </c>
      <c r="I619" s="2" t="s">
        <v>3335</v>
      </c>
      <c r="J619" s="2" t="s">
        <v>2710</v>
      </c>
      <c r="K619" s="2" t="s">
        <v>0</v>
      </c>
      <c r="L619" s="2" t="s">
        <v>2661</v>
      </c>
      <c r="M619" s="2" t="s">
        <v>2662</v>
      </c>
      <c r="N619" s="2" t="s">
        <v>12</v>
      </c>
      <c r="O619" s="2" t="s">
        <v>0</v>
      </c>
      <c r="P619" s="2" t="s">
        <v>14</v>
      </c>
      <c r="Q619" s="2" t="s">
        <v>878</v>
      </c>
      <c r="R619" s="2" t="s">
        <v>3315</v>
      </c>
      <c r="S619" s="2" t="s">
        <v>3336</v>
      </c>
      <c r="T619" s="2" t="s">
        <v>35</v>
      </c>
      <c r="U619" s="2" t="s">
        <v>0</v>
      </c>
    </row>
    <row r="620" spans="1:21">
      <c r="A620" s="2" t="s">
        <v>3351</v>
      </c>
      <c r="B620" s="2" t="s">
        <v>27</v>
      </c>
      <c r="C620" s="2" t="s">
        <v>3352</v>
      </c>
      <c r="D620" s="2" t="s">
        <v>3353</v>
      </c>
      <c r="E620" s="2" t="s">
        <v>3354</v>
      </c>
      <c r="F620" s="2" t="s">
        <v>3001</v>
      </c>
      <c r="G620" s="2" t="s">
        <v>3002</v>
      </c>
      <c r="H620" s="2" t="s">
        <v>3355</v>
      </c>
      <c r="I620" s="2" t="s">
        <v>3356</v>
      </c>
      <c r="J620" s="2" t="s">
        <v>2710</v>
      </c>
      <c r="K620" s="2" t="s">
        <v>0</v>
      </c>
      <c r="L620" s="2" t="s">
        <v>2661</v>
      </c>
      <c r="M620" s="2" t="s">
        <v>2662</v>
      </c>
      <c r="N620" s="2" t="s">
        <v>12</v>
      </c>
      <c r="O620" s="2" t="s">
        <v>0</v>
      </c>
      <c r="P620" s="2" t="s">
        <v>14</v>
      </c>
      <c r="Q620" s="2" t="s">
        <v>878</v>
      </c>
      <c r="R620" s="2" t="s">
        <v>3315</v>
      </c>
      <c r="S620" s="2" t="s">
        <v>3357</v>
      </c>
      <c r="T620" s="2" t="s">
        <v>35</v>
      </c>
      <c r="U620" s="2" t="s">
        <v>0</v>
      </c>
    </row>
    <row r="621" spans="1:21">
      <c r="A621" s="2" t="s">
        <v>3358</v>
      </c>
      <c r="B621" s="2" t="s">
        <v>27</v>
      </c>
      <c r="C621" s="2" t="s">
        <v>3359</v>
      </c>
      <c r="D621" s="2" t="s">
        <v>3360</v>
      </c>
      <c r="E621" s="2" t="s">
        <v>3361</v>
      </c>
      <c r="F621" s="2" t="s">
        <v>2952</v>
      </c>
      <c r="G621" s="2" t="s">
        <v>2953</v>
      </c>
      <c r="H621" s="2" t="s">
        <v>3355</v>
      </c>
      <c r="I621" s="2" t="s">
        <v>3356</v>
      </c>
      <c r="J621" s="2" t="s">
        <v>2710</v>
      </c>
      <c r="K621" s="2" t="s">
        <v>0</v>
      </c>
      <c r="L621" s="2" t="s">
        <v>2661</v>
      </c>
      <c r="M621" s="2" t="s">
        <v>2662</v>
      </c>
      <c r="N621" s="2" t="s">
        <v>12</v>
      </c>
      <c r="O621" s="2" t="s">
        <v>0</v>
      </c>
      <c r="P621" s="2" t="s">
        <v>14</v>
      </c>
      <c r="Q621" s="2" t="s">
        <v>878</v>
      </c>
      <c r="R621" s="2" t="s">
        <v>3315</v>
      </c>
      <c r="S621" s="2" t="s">
        <v>3357</v>
      </c>
      <c r="T621" s="2" t="s">
        <v>35</v>
      </c>
      <c r="U621" s="2" t="s">
        <v>3362</v>
      </c>
    </row>
    <row r="622" spans="1:21">
      <c r="A622" s="2" t="s">
        <v>3363</v>
      </c>
      <c r="B622" s="2" t="s">
        <v>27</v>
      </c>
      <c r="C622" s="2" t="s">
        <v>3364</v>
      </c>
      <c r="D622" s="2" t="s">
        <v>3365</v>
      </c>
      <c r="E622" s="2" t="s">
        <v>3366</v>
      </c>
      <c r="F622" s="2" t="s">
        <v>3007</v>
      </c>
      <c r="G622" s="2" t="s">
        <v>3008</v>
      </c>
      <c r="H622" s="2" t="s">
        <v>3355</v>
      </c>
      <c r="I622" s="2" t="s">
        <v>3356</v>
      </c>
      <c r="J622" s="2" t="s">
        <v>2710</v>
      </c>
      <c r="K622" s="2" t="s">
        <v>0</v>
      </c>
      <c r="L622" s="2" t="s">
        <v>2661</v>
      </c>
      <c r="M622" s="2" t="s">
        <v>2662</v>
      </c>
      <c r="N622" s="2" t="s">
        <v>12</v>
      </c>
      <c r="O622" s="2" t="s">
        <v>0</v>
      </c>
      <c r="P622" s="2" t="s">
        <v>14</v>
      </c>
      <c r="Q622" s="2" t="s">
        <v>878</v>
      </c>
      <c r="R622" s="2" t="s">
        <v>3315</v>
      </c>
      <c r="S622" s="2" t="s">
        <v>3357</v>
      </c>
      <c r="T622" s="2" t="s">
        <v>35</v>
      </c>
      <c r="U622" s="2" t="s">
        <v>3367</v>
      </c>
    </row>
    <row r="623" spans="1:21">
      <c r="A623" s="2" t="s">
        <v>3368</v>
      </c>
      <c r="B623" s="2" t="s">
        <v>27</v>
      </c>
      <c r="C623" s="2" t="s">
        <v>3369</v>
      </c>
      <c r="D623" s="2" t="s">
        <v>3370</v>
      </c>
      <c r="E623" s="2" t="s">
        <v>3371</v>
      </c>
      <c r="F623" s="2" t="s">
        <v>3007</v>
      </c>
      <c r="G623" s="2" t="s">
        <v>3008</v>
      </c>
      <c r="H623" s="2" t="s">
        <v>3355</v>
      </c>
      <c r="I623" s="2" t="s">
        <v>3356</v>
      </c>
      <c r="J623" s="2" t="s">
        <v>2710</v>
      </c>
      <c r="K623" s="2" t="s">
        <v>0</v>
      </c>
      <c r="L623" s="2" t="s">
        <v>2661</v>
      </c>
      <c r="M623" s="2" t="s">
        <v>2662</v>
      </c>
      <c r="N623" s="2" t="s">
        <v>12</v>
      </c>
      <c r="O623" s="2" t="s">
        <v>0</v>
      </c>
      <c r="P623" s="2" t="s">
        <v>14</v>
      </c>
      <c r="Q623" s="2" t="s">
        <v>878</v>
      </c>
      <c r="R623" s="2" t="s">
        <v>3315</v>
      </c>
      <c r="S623" s="2" t="s">
        <v>3357</v>
      </c>
      <c r="T623" s="2" t="s">
        <v>35</v>
      </c>
      <c r="U623" s="2" t="s">
        <v>0</v>
      </c>
    </row>
    <row r="624" spans="1:21">
      <c r="A624" s="2" t="s">
        <v>3372</v>
      </c>
      <c r="B624" s="2" t="s">
        <v>27</v>
      </c>
      <c r="C624" s="2" t="s">
        <v>3373</v>
      </c>
      <c r="D624" s="2" t="s">
        <v>3374</v>
      </c>
      <c r="E624" s="2" t="s">
        <v>3375</v>
      </c>
      <c r="F624" s="2" t="s">
        <v>2952</v>
      </c>
      <c r="G624" s="2" t="s">
        <v>2953</v>
      </c>
      <c r="H624" s="2" t="s">
        <v>3376</v>
      </c>
      <c r="I624" s="2" t="s">
        <v>3377</v>
      </c>
      <c r="J624" s="2" t="s">
        <v>2710</v>
      </c>
      <c r="K624" s="2" t="s">
        <v>0</v>
      </c>
      <c r="L624" s="2" t="s">
        <v>2661</v>
      </c>
      <c r="M624" s="2" t="s">
        <v>2662</v>
      </c>
      <c r="N624" s="2" t="s">
        <v>12</v>
      </c>
      <c r="O624" s="2" t="s">
        <v>0</v>
      </c>
      <c r="P624" s="2" t="s">
        <v>14</v>
      </c>
      <c r="Q624" s="2" t="s">
        <v>878</v>
      </c>
      <c r="R624" s="2" t="s">
        <v>3315</v>
      </c>
      <c r="S624" s="2" t="s">
        <v>3378</v>
      </c>
      <c r="T624" s="2" t="s">
        <v>35</v>
      </c>
      <c r="U624" s="2" t="s">
        <v>0</v>
      </c>
    </row>
    <row r="625" spans="1:21">
      <c r="A625" s="2" t="s">
        <v>3379</v>
      </c>
      <c r="B625" s="2" t="s">
        <v>27</v>
      </c>
      <c r="C625" s="2" t="s">
        <v>3380</v>
      </c>
      <c r="D625" s="2" t="s">
        <v>3381</v>
      </c>
      <c r="E625" s="2" t="s">
        <v>3382</v>
      </c>
      <c r="F625" s="2" t="s">
        <v>3001</v>
      </c>
      <c r="G625" s="2" t="s">
        <v>3002</v>
      </c>
      <c r="H625" s="2" t="s">
        <v>3376</v>
      </c>
      <c r="I625" s="2" t="s">
        <v>3377</v>
      </c>
      <c r="J625" s="2" t="s">
        <v>2710</v>
      </c>
      <c r="K625" s="2" t="s">
        <v>0</v>
      </c>
      <c r="L625" s="2" t="s">
        <v>2661</v>
      </c>
      <c r="M625" s="2" t="s">
        <v>2662</v>
      </c>
      <c r="N625" s="2" t="s">
        <v>12</v>
      </c>
      <c r="O625" s="2" t="s">
        <v>0</v>
      </c>
      <c r="P625" s="2" t="s">
        <v>14</v>
      </c>
      <c r="Q625" s="2" t="s">
        <v>878</v>
      </c>
      <c r="R625" s="2" t="s">
        <v>3315</v>
      </c>
      <c r="S625" s="2" t="s">
        <v>3378</v>
      </c>
      <c r="T625" s="2" t="s">
        <v>35</v>
      </c>
      <c r="U625" s="2" t="s">
        <v>0</v>
      </c>
    </row>
    <row r="626" spans="1:21">
      <c r="A626" s="2" t="s">
        <v>3383</v>
      </c>
      <c r="B626" s="2" t="s">
        <v>27</v>
      </c>
      <c r="C626" s="2" t="s">
        <v>3384</v>
      </c>
      <c r="D626" s="2" t="s">
        <v>3385</v>
      </c>
      <c r="E626" s="2" t="s">
        <v>3386</v>
      </c>
      <c r="F626" s="2" t="s">
        <v>3007</v>
      </c>
      <c r="G626" s="2" t="s">
        <v>3008</v>
      </c>
      <c r="H626" s="2" t="s">
        <v>3376</v>
      </c>
      <c r="I626" s="2" t="s">
        <v>3377</v>
      </c>
      <c r="J626" s="2" t="s">
        <v>2710</v>
      </c>
      <c r="K626" s="2" t="s">
        <v>0</v>
      </c>
      <c r="L626" s="2" t="s">
        <v>2661</v>
      </c>
      <c r="M626" s="2" t="s">
        <v>2662</v>
      </c>
      <c r="N626" s="2" t="s">
        <v>12</v>
      </c>
      <c r="O626" s="2" t="s">
        <v>0</v>
      </c>
      <c r="P626" s="2" t="s">
        <v>14</v>
      </c>
      <c r="Q626" s="2" t="s">
        <v>878</v>
      </c>
      <c r="R626" s="2" t="s">
        <v>3315</v>
      </c>
      <c r="S626" s="2" t="s">
        <v>3378</v>
      </c>
      <c r="T626" s="2" t="s">
        <v>35</v>
      </c>
      <c r="U626" s="2" t="s">
        <v>3387</v>
      </c>
    </row>
    <row r="627" spans="1:21">
      <c r="A627" s="2" t="s">
        <v>3388</v>
      </c>
      <c r="B627" s="2" t="s">
        <v>27</v>
      </c>
      <c r="C627" s="2" t="s">
        <v>3389</v>
      </c>
      <c r="D627" s="2" t="s">
        <v>3390</v>
      </c>
      <c r="E627" s="2" t="s">
        <v>3391</v>
      </c>
      <c r="F627" s="2" t="s">
        <v>3007</v>
      </c>
      <c r="G627" s="2" t="s">
        <v>3008</v>
      </c>
      <c r="H627" s="2" t="s">
        <v>3376</v>
      </c>
      <c r="I627" s="2" t="s">
        <v>3377</v>
      </c>
      <c r="J627" s="2" t="s">
        <v>2710</v>
      </c>
      <c r="K627" s="2" t="s">
        <v>0</v>
      </c>
      <c r="L627" s="2" t="s">
        <v>2661</v>
      </c>
      <c r="M627" s="2" t="s">
        <v>2662</v>
      </c>
      <c r="N627" s="2" t="s">
        <v>12</v>
      </c>
      <c r="O627" s="2" t="s">
        <v>0</v>
      </c>
      <c r="P627" s="2" t="s">
        <v>14</v>
      </c>
      <c r="Q627" s="2" t="s">
        <v>878</v>
      </c>
      <c r="R627" s="2" t="s">
        <v>3315</v>
      </c>
      <c r="S627" s="2" t="s">
        <v>3378</v>
      </c>
      <c r="T627" s="2" t="s">
        <v>35</v>
      </c>
      <c r="U627" s="2" t="s">
        <v>0</v>
      </c>
    </row>
    <row r="628" spans="1:21">
      <c r="A628" s="2" t="s">
        <v>3392</v>
      </c>
      <c r="B628" s="2" t="s">
        <v>27</v>
      </c>
      <c r="C628" s="2" t="s">
        <v>3393</v>
      </c>
      <c r="D628" s="2" t="s">
        <v>3394</v>
      </c>
      <c r="E628" s="2" t="s">
        <v>3395</v>
      </c>
      <c r="F628" s="2" t="s">
        <v>2952</v>
      </c>
      <c r="G628" s="2" t="s">
        <v>2953</v>
      </c>
      <c r="H628" s="2" t="s">
        <v>3396</v>
      </c>
      <c r="I628" s="2" t="s">
        <v>3397</v>
      </c>
      <c r="J628" s="2" t="s">
        <v>3398</v>
      </c>
      <c r="K628" s="2" t="s">
        <v>0</v>
      </c>
      <c r="L628" s="2" t="s">
        <v>2816</v>
      </c>
      <c r="M628" s="2" t="s">
        <v>2662</v>
      </c>
      <c r="N628" s="2" t="s">
        <v>12</v>
      </c>
      <c r="O628" s="2" t="s">
        <v>0</v>
      </c>
      <c r="P628" s="2" t="s">
        <v>149</v>
      </c>
      <c r="Q628" s="2" t="s">
        <v>1018</v>
      </c>
      <c r="R628" s="2" t="s">
        <v>3399</v>
      </c>
      <c r="S628" s="2" t="s">
        <v>3400</v>
      </c>
      <c r="T628" s="2" t="s">
        <v>35</v>
      </c>
      <c r="U628" s="2" t="s">
        <v>3401</v>
      </c>
    </row>
    <row r="629" spans="1:21">
      <c r="A629" s="2" t="s">
        <v>3402</v>
      </c>
      <c r="B629" s="2" t="s">
        <v>27</v>
      </c>
      <c r="C629" s="2" t="s">
        <v>3403</v>
      </c>
      <c r="D629" s="2" t="s">
        <v>3404</v>
      </c>
      <c r="E629" s="2" t="s">
        <v>3405</v>
      </c>
      <c r="F629" s="2" t="s">
        <v>3001</v>
      </c>
      <c r="G629" s="2" t="s">
        <v>3002</v>
      </c>
      <c r="H629" s="2" t="s">
        <v>3396</v>
      </c>
      <c r="I629" s="2" t="s">
        <v>3397</v>
      </c>
      <c r="J629" s="2" t="s">
        <v>3398</v>
      </c>
      <c r="K629" s="2" t="s">
        <v>0</v>
      </c>
      <c r="L629" s="2" t="s">
        <v>2816</v>
      </c>
      <c r="M629" s="2" t="s">
        <v>2662</v>
      </c>
      <c r="N629" s="2" t="s">
        <v>12</v>
      </c>
      <c r="O629" s="2" t="s">
        <v>0</v>
      </c>
      <c r="P629" s="2" t="s">
        <v>149</v>
      </c>
      <c r="Q629" s="2" t="s">
        <v>1018</v>
      </c>
      <c r="R629" s="2" t="s">
        <v>3399</v>
      </c>
      <c r="S629" s="2" t="s">
        <v>3406</v>
      </c>
      <c r="T629" s="2" t="s">
        <v>35</v>
      </c>
      <c r="U629" s="2" t="s">
        <v>3407</v>
      </c>
    </row>
    <row r="630" spans="1:21">
      <c r="A630" s="2" t="s">
        <v>3408</v>
      </c>
      <c r="B630" s="2" t="s">
        <v>27</v>
      </c>
      <c r="C630" s="2" t="s">
        <v>3409</v>
      </c>
      <c r="D630" s="2" t="s">
        <v>3410</v>
      </c>
      <c r="E630" s="2" t="s">
        <v>3411</v>
      </c>
      <c r="F630" s="2" t="s">
        <v>3007</v>
      </c>
      <c r="G630" s="2" t="s">
        <v>3008</v>
      </c>
      <c r="H630" s="2" t="s">
        <v>3396</v>
      </c>
      <c r="I630" s="2" t="s">
        <v>3397</v>
      </c>
      <c r="J630" s="2" t="s">
        <v>3398</v>
      </c>
      <c r="K630" s="2" t="s">
        <v>0</v>
      </c>
      <c r="L630" s="2" t="s">
        <v>2816</v>
      </c>
      <c r="M630" s="2" t="s">
        <v>2662</v>
      </c>
      <c r="N630" s="2" t="s">
        <v>12</v>
      </c>
      <c r="O630" s="2" t="s">
        <v>0</v>
      </c>
      <c r="P630" s="2" t="s">
        <v>149</v>
      </c>
      <c r="Q630" s="2" t="s">
        <v>1018</v>
      </c>
      <c r="R630" s="2" t="s">
        <v>3399</v>
      </c>
      <c r="S630" s="2" t="s">
        <v>3406</v>
      </c>
      <c r="T630" s="2" t="s">
        <v>35</v>
      </c>
      <c r="U630" s="2" t="s">
        <v>3412</v>
      </c>
    </row>
    <row r="631" spans="1:21">
      <c r="A631" s="2" t="s">
        <v>3413</v>
      </c>
      <c r="B631" s="2" t="s">
        <v>27</v>
      </c>
      <c r="C631" s="2" t="s">
        <v>3414</v>
      </c>
      <c r="D631" s="2" t="s">
        <v>3415</v>
      </c>
      <c r="E631" s="2" t="s">
        <v>3416</v>
      </c>
      <c r="F631" s="2" t="s">
        <v>3007</v>
      </c>
      <c r="G631" s="2" t="s">
        <v>3008</v>
      </c>
      <c r="H631" s="2" t="s">
        <v>3396</v>
      </c>
      <c r="I631" s="2" t="s">
        <v>3397</v>
      </c>
      <c r="J631" s="2" t="s">
        <v>3398</v>
      </c>
      <c r="K631" s="2" t="s">
        <v>0</v>
      </c>
      <c r="L631" s="2" t="s">
        <v>2816</v>
      </c>
      <c r="M631" s="2" t="s">
        <v>2662</v>
      </c>
      <c r="N631" s="2" t="s">
        <v>12</v>
      </c>
      <c r="O631" s="2" t="s">
        <v>0</v>
      </c>
      <c r="P631" s="2" t="s">
        <v>149</v>
      </c>
      <c r="Q631" s="2" t="s">
        <v>1018</v>
      </c>
      <c r="R631" s="2" t="s">
        <v>3399</v>
      </c>
      <c r="S631" s="2" t="s">
        <v>3406</v>
      </c>
      <c r="T631" s="2" t="s">
        <v>35</v>
      </c>
      <c r="U631" s="2" t="s">
        <v>0</v>
      </c>
    </row>
    <row r="632" spans="1:21">
      <c r="A632" s="2" t="s">
        <v>3417</v>
      </c>
      <c r="B632" s="2" t="s">
        <v>27</v>
      </c>
      <c r="C632" s="2" t="s">
        <v>3418</v>
      </c>
      <c r="D632" s="2" t="s">
        <v>3419</v>
      </c>
      <c r="E632" s="2" t="s">
        <v>3420</v>
      </c>
      <c r="F632" s="2" t="s">
        <v>3001</v>
      </c>
      <c r="G632" s="2" t="s">
        <v>3002</v>
      </c>
      <c r="H632" s="2" t="s">
        <v>3421</v>
      </c>
      <c r="I632" s="2" t="s">
        <v>3422</v>
      </c>
      <c r="J632" s="2" t="s">
        <v>3398</v>
      </c>
      <c r="K632" s="2" t="s">
        <v>0</v>
      </c>
      <c r="L632" s="2" t="s">
        <v>2816</v>
      </c>
      <c r="M632" s="2" t="s">
        <v>2662</v>
      </c>
      <c r="N632" s="2" t="s">
        <v>12</v>
      </c>
      <c r="O632" s="2" t="s">
        <v>0</v>
      </c>
      <c r="P632" s="2" t="s">
        <v>149</v>
      </c>
      <c r="Q632" s="2" t="s">
        <v>1018</v>
      </c>
      <c r="R632" s="2" t="s">
        <v>3399</v>
      </c>
      <c r="S632" s="2" t="s">
        <v>3423</v>
      </c>
      <c r="T632" s="2" t="s">
        <v>35</v>
      </c>
      <c r="U632" s="2" t="s">
        <v>3424</v>
      </c>
    </row>
    <row r="633" spans="1:21">
      <c r="A633" s="2" t="s">
        <v>3425</v>
      </c>
      <c r="B633" s="2" t="s">
        <v>27</v>
      </c>
      <c r="C633" s="2" t="s">
        <v>3137</v>
      </c>
      <c r="D633" s="2" t="s">
        <v>3426</v>
      </c>
      <c r="E633" s="2" t="s">
        <v>3427</v>
      </c>
      <c r="F633" s="2" t="s">
        <v>2952</v>
      </c>
      <c r="G633" s="2" t="s">
        <v>2953</v>
      </c>
      <c r="H633" s="2" t="s">
        <v>3421</v>
      </c>
      <c r="I633" s="2" t="s">
        <v>3422</v>
      </c>
      <c r="J633" s="2" t="s">
        <v>3398</v>
      </c>
      <c r="K633" s="2" t="s">
        <v>0</v>
      </c>
      <c r="L633" s="2" t="s">
        <v>2816</v>
      </c>
      <c r="M633" s="2" t="s">
        <v>2662</v>
      </c>
      <c r="N633" s="2" t="s">
        <v>12</v>
      </c>
      <c r="O633" s="2" t="s">
        <v>0</v>
      </c>
      <c r="P633" s="2" t="s">
        <v>149</v>
      </c>
      <c r="Q633" s="2" t="s">
        <v>1018</v>
      </c>
      <c r="R633" s="2" t="s">
        <v>3399</v>
      </c>
      <c r="S633" s="2" t="s">
        <v>3406</v>
      </c>
      <c r="T633" s="2" t="s">
        <v>35</v>
      </c>
      <c r="U633" s="2" t="s">
        <v>3428</v>
      </c>
    </row>
    <row r="634" spans="1:21">
      <c r="A634" s="2" t="s">
        <v>3429</v>
      </c>
      <c r="B634" s="2" t="s">
        <v>27</v>
      </c>
      <c r="C634" s="2" t="s">
        <v>3430</v>
      </c>
      <c r="D634" s="2" t="s">
        <v>3431</v>
      </c>
      <c r="E634" s="2" t="s">
        <v>3432</v>
      </c>
      <c r="F634" s="2" t="s">
        <v>3007</v>
      </c>
      <c r="G634" s="2" t="s">
        <v>3008</v>
      </c>
      <c r="H634" s="2" t="s">
        <v>3421</v>
      </c>
      <c r="I634" s="2" t="s">
        <v>3422</v>
      </c>
      <c r="J634" s="2" t="s">
        <v>3398</v>
      </c>
      <c r="K634" s="2" t="s">
        <v>0</v>
      </c>
      <c r="L634" s="2" t="s">
        <v>2816</v>
      </c>
      <c r="M634" s="2" t="s">
        <v>2662</v>
      </c>
      <c r="N634" s="2" t="s">
        <v>12</v>
      </c>
      <c r="O634" s="2" t="s">
        <v>0</v>
      </c>
      <c r="P634" s="2" t="s">
        <v>149</v>
      </c>
      <c r="Q634" s="2" t="s">
        <v>1018</v>
      </c>
      <c r="R634" s="2" t="s">
        <v>3399</v>
      </c>
      <c r="S634" s="2" t="s">
        <v>3423</v>
      </c>
      <c r="T634" s="2" t="s">
        <v>35</v>
      </c>
      <c r="U634" s="2" t="s">
        <v>0</v>
      </c>
    </row>
    <row r="635" spans="1:21">
      <c r="A635" s="2" t="s">
        <v>3433</v>
      </c>
      <c r="B635" s="2" t="s">
        <v>27</v>
      </c>
      <c r="C635" s="2" t="s">
        <v>3434</v>
      </c>
      <c r="D635" s="2" t="s">
        <v>3435</v>
      </c>
      <c r="E635" s="2" t="s">
        <v>3436</v>
      </c>
      <c r="F635" s="2" t="s">
        <v>3007</v>
      </c>
      <c r="G635" s="2" t="s">
        <v>3008</v>
      </c>
      <c r="H635" s="2" t="s">
        <v>3421</v>
      </c>
      <c r="I635" s="2" t="s">
        <v>3422</v>
      </c>
      <c r="J635" s="2" t="s">
        <v>3398</v>
      </c>
      <c r="K635" s="2" t="s">
        <v>0</v>
      </c>
      <c r="L635" s="2" t="s">
        <v>2816</v>
      </c>
      <c r="M635" s="2" t="s">
        <v>2662</v>
      </c>
      <c r="N635" s="2" t="s">
        <v>12</v>
      </c>
      <c r="O635" s="2" t="s">
        <v>0</v>
      </c>
      <c r="P635" s="2" t="s">
        <v>149</v>
      </c>
      <c r="Q635" s="2" t="s">
        <v>1018</v>
      </c>
      <c r="R635" s="2" t="s">
        <v>3399</v>
      </c>
      <c r="S635" s="2" t="s">
        <v>3423</v>
      </c>
      <c r="T635" s="2" t="s">
        <v>35</v>
      </c>
      <c r="U635" s="2" t="s">
        <v>0</v>
      </c>
    </row>
    <row r="636" spans="1:21">
      <c r="A636" s="2" t="s">
        <v>3437</v>
      </c>
      <c r="B636" s="2" t="s">
        <v>27</v>
      </c>
      <c r="C636" s="2" t="s">
        <v>3430</v>
      </c>
      <c r="D636" s="2" t="s">
        <v>3438</v>
      </c>
      <c r="E636" s="2" t="s">
        <v>3439</v>
      </c>
      <c r="F636" s="2" t="s">
        <v>3001</v>
      </c>
      <c r="G636" s="2" t="s">
        <v>3002</v>
      </c>
      <c r="H636" s="2" t="s">
        <v>3440</v>
      </c>
      <c r="I636" s="2" t="s">
        <v>3441</v>
      </c>
      <c r="J636" s="2" t="s">
        <v>3398</v>
      </c>
      <c r="K636" s="2" t="s">
        <v>0</v>
      </c>
      <c r="L636" s="2" t="s">
        <v>2816</v>
      </c>
      <c r="M636" s="2" t="s">
        <v>2662</v>
      </c>
      <c r="N636" s="2" t="s">
        <v>12</v>
      </c>
      <c r="O636" s="2" t="s">
        <v>0</v>
      </c>
      <c r="P636" s="2" t="s">
        <v>149</v>
      </c>
      <c r="Q636" s="2" t="s">
        <v>1018</v>
      </c>
      <c r="R636" s="2" t="s">
        <v>3399</v>
      </c>
      <c r="S636" s="2" t="s">
        <v>3442</v>
      </c>
      <c r="T636" s="2" t="s">
        <v>35</v>
      </c>
      <c r="U636" s="2" t="s">
        <v>3443</v>
      </c>
    </row>
    <row r="637" spans="1:21">
      <c r="A637" s="2" t="s">
        <v>3444</v>
      </c>
      <c r="B637" s="2" t="s">
        <v>27</v>
      </c>
      <c r="C637" s="2" t="s">
        <v>2634</v>
      </c>
      <c r="D637" s="2" t="s">
        <v>3445</v>
      </c>
      <c r="E637" s="2" t="s">
        <v>3446</v>
      </c>
      <c r="F637" s="2" t="s">
        <v>3007</v>
      </c>
      <c r="G637" s="2" t="s">
        <v>3008</v>
      </c>
      <c r="H637" s="2" t="s">
        <v>3440</v>
      </c>
      <c r="I637" s="2" t="s">
        <v>3441</v>
      </c>
      <c r="J637" s="2" t="s">
        <v>3398</v>
      </c>
      <c r="K637" s="2" t="s">
        <v>0</v>
      </c>
      <c r="L637" s="2" t="s">
        <v>2816</v>
      </c>
      <c r="M637" s="2" t="s">
        <v>2662</v>
      </c>
      <c r="N637" s="2" t="s">
        <v>12</v>
      </c>
      <c r="O637" s="2" t="s">
        <v>0</v>
      </c>
      <c r="P637" s="2" t="s">
        <v>149</v>
      </c>
      <c r="Q637" s="2" t="s">
        <v>1018</v>
      </c>
      <c r="R637" s="2" t="s">
        <v>3399</v>
      </c>
      <c r="S637" s="2" t="s">
        <v>3442</v>
      </c>
      <c r="T637" s="2" t="s">
        <v>35</v>
      </c>
      <c r="U637" s="2" t="s">
        <v>0</v>
      </c>
    </row>
    <row r="638" spans="1:21">
      <c r="A638" s="2" t="s">
        <v>3447</v>
      </c>
      <c r="B638" s="2" t="s">
        <v>27</v>
      </c>
      <c r="C638" s="2" t="s">
        <v>3448</v>
      </c>
      <c r="D638" s="2" t="s">
        <v>3449</v>
      </c>
      <c r="E638" s="2" t="s">
        <v>3450</v>
      </c>
      <c r="F638" s="2" t="s">
        <v>2952</v>
      </c>
      <c r="G638" s="2" t="s">
        <v>2953</v>
      </c>
      <c r="H638" s="2" t="s">
        <v>3440</v>
      </c>
      <c r="I638" s="2" t="s">
        <v>3441</v>
      </c>
      <c r="J638" s="2" t="s">
        <v>3398</v>
      </c>
      <c r="K638" s="2" t="s">
        <v>0</v>
      </c>
      <c r="L638" s="2" t="s">
        <v>2816</v>
      </c>
      <c r="M638" s="2" t="s">
        <v>2662</v>
      </c>
      <c r="N638" s="2" t="s">
        <v>12</v>
      </c>
      <c r="O638" s="2" t="s">
        <v>0</v>
      </c>
      <c r="P638" s="2" t="s">
        <v>149</v>
      </c>
      <c r="Q638" s="2" t="s">
        <v>1018</v>
      </c>
      <c r="R638" s="2" t="s">
        <v>3399</v>
      </c>
      <c r="S638" s="2" t="s">
        <v>3423</v>
      </c>
      <c r="T638" s="2" t="s">
        <v>35</v>
      </c>
      <c r="U638" s="2" t="s">
        <v>3451</v>
      </c>
    </row>
    <row r="639" spans="1:21">
      <c r="A639" s="2" t="s">
        <v>3452</v>
      </c>
      <c r="B639" s="2" t="s">
        <v>27</v>
      </c>
      <c r="C639" s="2" t="s">
        <v>3453</v>
      </c>
      <c r="D639" s="2" t="s">
        <v>3454</v>
      </c>
      <c r="E639" s="2" t="s">
        <v>3455</v>
      </c>
      <c r="F639" s="2" t="s">
        <v>3007</v>
      </c>
      <c r="G639" s="2" t="s">
        <v>3008</v>
      </c>
      <c r="H639" s="2" t="s">
        <v>3440</v>
      </c>
      <c r="I639" s="2" t="s">
        <v>3441</v>
      </c>
      <c r="J639" s="2" t="s">
        <v>3398</v>
      </c>
      <c r="K639" s="2" t="s">
        <v>0</v>
      </c>
      <c r="L639" s="2" t="s">
        <v>2816</v>
      </c>
      <c r="M639" s="2" t="s">
        <v>2662</v>
      </c>
      <c r="N639" s="2" t="s">
        <v>12</v>
      </c>
      <c r="O639" s="2" t="s">
        <v>0</v>
      </c>
      <c r="P639" s="2" t="s">
        <v>149</v>
      </c>
      <c r="Q639" s="2" t="s">
        <v>1018</v>
      </c>
      <c r="R639" s="2" t="s">
        <v>3399</v>
      </c>
      <c r="S639" s="2" t="s">
        <v>3442</v>
      </c>
      <c r="T639" s="2" t="s">
        <v>35</v>
      </c>
      <c r="U639" s="2" t="s">
        <v>0</v>
      </c>
    </row>
    <row r="640" spans="1:21">
      <c r="A640" s="2" t="s">
        <v>3456</v>
      </c>
      <c r="B640" s="2" t="s">
        <v>27</v>
      </c>
      <c r="C640" s="2" t="s">
        <v>1509</v>
      </c>
      <c r="D640" s="2" t="s">
        <v>3457</v>
      </c>
      <c r="E640" s="2" t="s">
        <v>3458</v>
      </c>
      <c r="F640" s="2" t="s">
        <v>2952</v>
      </c>
      <c r="G640" s="2" t="s">
        <v>2953</v>
      </c>
      <c r="H640" s="2" t="s">
        <v>3459</v>
      </c>
      <c r="I640" s="2" t="s">
        <v>3460</v>
      </c>
      <c r="J640" s="2" t="s">
        <v>3398</v>
      </c>
      <c r="K640" s="2" t="s">
        <v>0</v>
      </c>
      <c r="L640" s="2" t="s">
        <v>2816</v>
      </c>
      <c r="M640" s="2" t="s">
        <v>2662</v>
      </c>
      <c r="N640" s="2" t="s">
        <v>12</v>
      </c>
      <c r="O640" s="2" t="s">
        <v>0</v>
      </c>
      <c r="P640" s="2" t="s">
        <v>149</v>
      </c>
      <c r="Q640" s="2" t="s">
        <v>1018</v>
      </c>
      <c r="R640" s="2" t="s">
        <v>3399</v>
      </c>
      <c r="S640" s="2" t="s">
        <v>3442</v>
      </c>
      <c r="T640" s="2" t="s">
        <v>35</v>
      </c>
      <c r="U640" s="2" t="s">
        <v>3461</v>
      </c>
    </row>
    <row r="641" spans="1:21">
      <c r="A641" s="2" t="s">
        <v>3462</v>
      </c>
      <c r="B641" s="2" t="s">
        <v>27</v>
      </c>
      <c r="C641" s="2" t="s">
        <v>3463</v>
      </c>
      <c r="D641" s="2" t="s">
        <v>3464</v>
      </c>
      <c r="E641" s="2" t="s">
        <v>3465</v>
      </c>
      <c r="F641" s="2" t="s">
        <v>3001</v>
      </c>
      <c r="G641" s="2" t="s">
        <v>3002</v>
      </c>
      <c r="H641" s="2" t="s">
        <v>3459</v>
      </c>
      <c r="I641" s="2" t="s">
        <v>3460</v>
      </c>
      <c r="J641" s="2" t="s">
        <v>3398</v>
      </c>
      <c r="K641" s="2" t="s">
        <v>0</v>
      </c>
      <c r="L641" s="2" t="s">
        <v>2816</v>
      </c>
      <c r="M641" s="2" t="s">
        <v>2662</v>
      </c>
      <c r="N641" s="2" t="s">
        <v>12</v>
      </c>
      <c r="O641" s="2" t="s">
        <v>0</v>
      </c>
      <c r="P641" s="2" t="s">
        <v>149</v>
      </c>
      <c r="Q641" s="2" t="s">
        <v>1018</v>
      </c>
      <c r="R641" s="2" t="s">
        <v>3399</v>
      </c>
      <c r="S641" s="2" t="s">
        <v>3400</v>
      </c>
      <c r="T641" s="2" t="s">
        <v>35</v>
      </c>
      <c r="U641" s="2" t="s">
        <v>0</v>
      </c>
    </row>
    <row r="642" spans="1:21">
      <c r="A642" s="2" t="s">
        <v>3466</v>
      </c>
      <c r="B642" s="2" t="s">
        <v>27</v>
      </c>
      <c r="C642" s="2" t="s">
        <v>3467</v>
      </c>
      <c r="D642" s="2" t="s">
        <v>3468</v>
      </c>
      <c r="E642" s="2" t="s">
        <v>3469</v>
      </c>
      <c r="F642" s="2" t="s">
        <v>3007</v>
      </c>
      <c r="G642" s="2" t="s">
        <v>3008</v>
      </c>
      <c r="H642" s="2" t="s">
        <v>3459</v>
      </c>
      <c r="I642" s="2" t="s">
        <v>3460</v>
      </c>
      <c r="J642" s="2" t="s">
        <v>3398</v>
      </c>
      <c r="K642" s="2" t="s">
        <v>0</v>
      </c>
      <c r="L642" s="2" t="s">
        <v>2816</v>
      </c>
      <c r="M642" s="2" t="s">
        <v>2662</v>
      </c>
      <c r="N642" s="2" t="s">
        <v>12</v>
      </c>
      <c r="O642" s="2" t="s">
        <v>0</v>
      </c>
      <c r="P642" s="2" t="s">
        <v>149</v>
      </c>
      <c r="Q642" s="2" t="s">
        <v>1018</v>
      </c>
      <c r="R642" s="2" t="s">
        <v>3399</v>
      </c>
      <c r="S642" s="2" t="s">
        <v>3400</v>
      </c>
      <c r="T642" s="2" t="s">
        <v>35</v>
      </c>
      <c r="U642" s="2" t="s">
        <v>3470</v>
      </c>
    </row>
    <row r="643" spans="1:21">
      <c r="A643" s="2" t="s">
        <v>3471</v>
      </c>
      <c r="B643" s="2" t="s">
        <v>27</v>
      </c>
      <c r="C643" s="2" t="s">
        <v>3472</v>
      </c>
      <c r="D643" s="2" t="s">
        <v>3473</v>
      </c>
      <c r="E643" s="2" t="s">
        <v>3474</v>
      </c>
      <c r="F643" s="2" t="s">
        <v>3007</v>
      </c>
      <c r="G643" s="2" t="s">
        <v>3008</v>
      </c>
      <c r="H643" s="2" t="s">
        <v>3459</v>
      </c>
      <c r="I643" s="2" t="s">
        <v>3460</v>
      </c>
      <c r="J643" s="2" t="s">
        <v>3398</v>
      </c>
      <c r="K643" s="2" t="s">
        <v>0</v>
      </c>
      <c r="L643" s="2" t="s">
        <v>2816</v>
      </c>
      <c r="M643" s="2" t="s">
        <v>2662</v>
      </c>
      <c r="N643" s="2" t="s">
        <v>12</v>
      </c>
      <c r="O643" s="2" t="s">
        <v>0</v>
      </c>
      <c r="P643" s="2" t="s">
        <v>149</v>
      </c>
      <c r="Q643" s="2" t="s">
        <v>1018</v>
      </c>
      <c r="R643" s="2" t="s">
        <v>3399</v>
      </c>
      <c r="S643" s="2" t="s">
        <v>3400</v>
      </c>
      <c r="T643" s="2" t="s">
        <v>35</v>
      </c>
      <c r="U643" s="2" t="s">
        <v>0</v>
      </c>
    </row>
    <row r="644" spans="1:21">
      <c r="A644" s="2" t="s">
        <v>3475</v>
      </c>
      <c r="B644" s="2" t="s">
        <v>27</v>
      </c>
      <c r="C644" s="2" t="s">
        <v>3476</v>
      </c>
      <c r="D644" s="2" t="s">
        <v>3477</v>
      </c>
      <c r="E644" s="2" t="s">
        <v>3478</v>
      </c>
      <c r="F644" s="2" t="s">
        <v>2674</v>
      </c>
      <c r="G644" s="2" t="s">
        <v>2675</v>
      </c>
      <c r="H644" s="2" t="s">
        <v>3479</v>
      </c>
      <c r="I644" s="2" t="s">
        <v>0</v>
      </c>
      <c r="J644" s="2" t="s">
        <v>3398</v>
      </c>
      <c r="K644" s="2" t="s">
        <v>0</v>
      </c>
      <c r="L644" s="2" t="s">
        <v>2816</v>
      </c>
      <c r="M644" s="2" t="s">
        <v>2662</v>
      </c>
      <c r="N644" s="2" t="s">
        <v>12</v>
      </c>
      <c r="O644" s="2" t="s">
        <v>13</v>
      </c>
      <c r="P644" s="2" t="s">
        <v>149</v>
      </c>
      <c r="Q644" s="2" t="s">
        <v>1018</v>
      </c>
      <c r="R644" s="2" t="s">
        <v>1019</v>
      </c>
      <c r="S644" s="2" t="s">
        <v>17</v>
      </c>
      <c r="T644" s="2" t="s">
        <v>35</v>
      </c>
      <c r="U644" s="2" t="s">
        <v>3480</v>
      </c>
    </row>
    <row r="645" spans="1:21">
      <c r="A645" s="2" t="s">
        <v>3481</v>
      </c>
      <c r="B645" s="2" t="s">
        <v>3</v>
      </c>
      <c r="C645" s="2" t="s">
        <v>3482</v>
      </c>
      <c r="D645" s="2" t="s">
        <v>3483</v>
      </c>
      <c r="E645" s="2" t="s">
        <v>3484</v>
      </c>
      <c r="F645" s="2" t="s">
        <v>3485</v>
      </c>
      <c r="G645" s="2" t="s">
        <v>3486</v>
      </c>
      <c r="H645" s="2" t="s">
        <v>3487</v>
      </c>
      <c r="I645" s="2" t="s">
        <v>0</v>
      </c>
      <c r="J645" s="2" t="s">
        <v>3488</v>
      </c>
      <c r="K645" s="2" t="s">
        <v>0</v>
      </c>
      <c r="L645" s="2" t="s">
        <v>3489</v>
      </c>
      <c r="M645" s="2" t="s">
        <v>0</v>
      </c>
      <c r="N645" s="2" t="s">
        <v>12</v>
      </c>
      <c r="O645" s="2" t="s">
        <v>13</v>
      </c>
      <c r="P645" s="2" t="s">
        <v>33</v>
      </c>
      <c r="Q645" s="2" t="s">
        <v>83</v>
      </c>
      <c r="R645" s="2" t="s">
        <v>34</v>
      </c>
      <c r="S645" s="2" t="s">
        <v>84</v>
      </c>
      <c r="T645" s="2" t="s">
        <v>18</v>
      </c>
      <c r="U645" s="2" t="s">
        <v>0</v>
      </c>
    </row>
    <row r="646" spans="1:21">
      <c r="A646" s="2" t="s">
        <v>3490</v>
      </c>
      <c r="B646" s="2" t="s">
        <v>3</v>
      </c>
      <c r="C646" s="2" t="s">
        <v>3491</v>
      </c>
      <c r="D646" s="2" t="s">
        <v>1771</v>
      </c>
      <c r="E646" s="2" t="s">
        <v>3492</v>
      </c>
      <c r="F646" s="2" t="s">
        <v>3493</v>
      </c>
      <c r="G646" s="2" t="s">
        <v>3494</v>
      </c>
      <c r="H646" s="2" t="s">
        <v>3487</v>
      </c>
      <c r="I646" s="2" t="s">
        <v>0</v>
      </c>
      <c r="J646" s="2" t="s">
        <v>3488</v>
      </c>
      <c r="K646" s="2" t="s">
        <v>0</v>
      </c>
      <c r="L646" s="2" t="s">
        <v>3489</v>
      </c>
      <c r="M646" s="2" t="s">
        <v>0</v>
      </c>
      <c r="N646" s="2" t="s">
        <v>12</v>
      </c>
      <c r="O646" s="2" t="s">
        <v>13</v>
      </c>
      <c r="P646" s="2" t="s">
        <v>33</v>
      </c>
      <c r="Q646" s="2" t="s">
        <v>83</v>
      </c>
      <c r="R646" s="2" t="s">
        <v>34</v>
      </c>
      <c r="S646" s="2" t="s">
        <v>84</v>
      </c>
      <c r="T646" s="2" t="s">
        <v>18</v>
      </c>
      <c r="U646" s="2" t="s">
        <v>3495</v>
      </c>
    </row>
    <row r="647" spans="1:21">
      <c r="A647" s="2" t="s">
        <v>3496</v>
      </c>
      <c r="B647" s="2" t="s">
        <v>3</v>
      </c>
      <c r="C647" s="2" t="s">
        <v>3497</v>
      </c>
      <c r="D647" s="2" t="s">
        <v>3498</v>
      </c>
      <c r="E647" s="2" t="s">
        <v>3499</v>
      </c>
      <c r="F647" s="2" t="s">
        <v>3485</v>
      </c>
      <c r="G647" s="2" t="s">
        <v>3486</v>
      </c>
      <c r="H647" s="2" t="s">
        <v>3487</v>
      </c>
      <c r="I647" s="2" t="s">
        <v>0</v>
      </c>
      <c r="J647" s="2" t="s">
        <v>3488</v>
      </c>
      <c r="K647" s="2" t="s">
        <v>0</v>
      </c>
      <c r="L647" s="2" t="s">
        <v>3489</v>
      </c>
      <c r="M647" s="2" t="s">
        <v>0</v>
      </c>
      <c r="N647" s="2" t="s">
        <v>12</v>
      </c>
      <c r="O647" s="2" t="s">
        <v>13</v>
      </c>
      <c r="P647" s="2" t="s">
        <v>33</v>
      </c>
      <c r="Q647" s="2" t="s">
        <v>83</v>
      </c>
      <c r="R647" s="2" t="s">
        <v>34</v>
      </c>
      <c r="S647" s="2" t="s">
        <v>84</v>
      </c>
      <c r="T647" s="2" t="s">
        <v>18</v>
      </c>
      <c r="U647" s="2" t="s">
        <v>0</v>
      </c>
    </row>
    <row r="648" spans="1:21">
      <c r="A648" s="2" t="s">
        <v>3500</v>
      </c>
      <c r="B648" s="2" t="s">
        <v>3</v>
      </c>
      <c r="C648" s="2" t="s">
        <v>3501</v>
      </c>
      <c r="D648" s="2" t="s">
        <v>3502</v>
      </c>
      <c r="E648" s="2" t="s">
        <v>3503</v>
      </c>
      <c r="F648" s="2" t="s">
        <v>3504</v>
      </c>
      <c r="G648" s="2" t="s">
        <v>3505</v>
      </c>
      <c r="H648" s="2" t="s">
        <v>3487</v>
      </c>
      <c r="I648" s="2" t="s">
        <v>0</v>
      </c>
      <c r="J648" s="2" t="s">
        <v>3488</v>
      </c>
      <c r="K648" s="2" t="s">
        <v>0</v>
      </c>
      <c r="L648" s="2" t="s">
        <v>3489</v>
      </c>
      <c r="M648" s="2" t="s">
        <v>0</v>
      </c>
      <c r="N648" s="2" t="s">
        <v>12</v>
      </c>
      <c r="O648" s="2" t="s">
        <v>13</v>
      </c>
      <c r="P648" s="2" t="s">
        <v>33</v>
      </c>
      <c r="Q648" s="2" t="s">
        <v>83</v>
      </c>
      <c r="R648" s="2" t="s">
        <v>34</v>
      </c>
      <c r="S648" s="2" t="s">
        <v>84</v>
      </c>
      <c r="T648" s="2" t="s">
        <v>18</v>
      </c>
      <c r="U648" s="2" t="s">
        <v>3506</v>
      </c>
    </row>
    <row r="649" spans="1:21">
      <c r="A649" s="2" t="s">
        <v>3507</v>
      </c>
      <c r="B649" s="2" t="s">
        <v>3</v>
      </c>
      <c r="C649" s="2" t="s">
        <v>3508</v>
      </c>
      <c r="D649" s="2" t="s">
        <v>3509</v>
      </c>
      <c r="E649" s="2" t="s">
        <v>3510</v>
      </c>
      <c r="F649" s="2" t="s">
        <v>3485</v>
      </c>
      <c r="G649" s="2" t="s">
        <v>3486</v>
      </c>
      <c r="H649" s="2" t="s">
        <v>3487</v>
      </c>
      <c r="I649" s="2" t="s">
        <v>0</v>
      </c>
      <c r="J649" s="2" t="s">
        <v>3488</v>
      </c>
      <c r="K649" s="2" t="s">
        <v>0</v>
      </c>
      <c r="L649" s="2" t="s">
        <v>3489</v>
      </c>
      <c r="M649" s="2" t="s">
        <v>0</v>
      </c>
      <c r="N649" s="2" t="s">
        <v>12</v>
      </c>
      <c r="O649" s="2" t="s">
        <v>13</v>
      </c>
      <c r="P649" s="2" t="s">
        <v>33</v>
      </c>
      <c r="Q649" s="2" t="s">
        <v>83</v>
      </c>
      <c r="R649" s="2" t="s">
        <v>34</v>
      </c>
      <c r="S649" s="2" t="s">
        <v>84</v>
      </c>
      <c r="T649" s="2" t="s">
        <v>18</v>
      </c>
      <c r="U649" s="2" t="s">
        <v>0</v>
      </c>
    </row>
    <row r="650" spans="1:21">
      <c r="A650" s="2" t="s">
        <v>3511</v>
      </c>
      <c r="B650" s="2" t="s">
        <v>3</v>
      </c>
      <c r="C650" s="2" t="s">
        <v>3512</v>
      </c>
      <c r="D650" s="2" t="s">
        <v>3513</v>
      </c>
      <c r="E650" s="2" t="s">
        <v>3514</v>
      </c>
      <c r="F650" s="2" t="s">
        <v>3485</v>
      </c>
      <c r="G650" s="2" t="s">
        <v>3486</v>
      </c>
      <c r="H650" s="2" t="s">
        <v>3515</v>
      </c>
      <c r="I650" s="2" t="s">
        <v>0</v>
      </c>
      <c r="J650" s="2" t="s">
        <v>3516</v>
      </c>
      <c r="K650" s="2" t="s">
        <v>0</v>
      </c>
      <c r="L650" s="2" t="s">
        <v>3489</v>
      </c>
      <c r="M650" s="2" t="s">
        <v>0</v>
      </c>
      <c r="N650" s="2" t="s">
        <v>12</v>
      </c>
      <c r="O650" s="2" t="s">
        <v>13</v>
      </c>
      <c r="P650" s="2" t="s">
        <v>33</v>
      </c>
      <c r="Q650" s="2" t="s">
        <v>83</v>
      </c>
      <c r="R650" s="2" t="s">
        <v>34</v>
      </c>
      <c r="S650" s="2" t="s">
        <v>84</v>
      </c>
      <c r="T650" s="2" t="s">
        <v>18</v>
      </c>
      <c r="U650" s="2" t="s">
        <v>0</v>
      </c>
    </row>
    <row r="651" spans="1:21">
      <c r="A651" s="2" t="s">
        <v>3517</v>
      </c>
      <c r="B651" s="2" t="s">
        <v>3</v>
      </c>
      <c r="C651" s="2" t="s">
        <v>3518</v>
      </c>
      <c r="D651" s="2" t="s">
        <v>2826</v>
      </c>
      <c r="E651" s="2" t="s">
        <v>3519</v>
      </c>
      <c r="F651" s="2" t="s">
        <v>3485</v>
      </c>
      <c r="G651" s="2" t="s">
        <v>3486</v>
      </c>
      <c r="H651" s="2" t="s">
        <v>3515</v>
      </c>
      <c r="I651" s="2" t="s">
        <v>0</v>
      </c>
      <c r="J651" s="2" t="s">
        <v>3516</v>
      </c>
      <c r="K651" s="2" t="s">
        <v>0</v>
      </c>
      <c r="L651" s="2" t="s">
        <v>3489</v>
      </c>
      <c r="M651" s="2" t="s">
        <v>0</v>
      </c>
      <c r="N651" s="2" t="s">
        <v>12</v>
      </c>
      <c r="O651" s="2" t="s">
        <v>13</v>
      </c>
      <c r="P651" s="2" t="s">
        <v>33</v>
      </c>
      <c r="Q651" s="2" t="s">
        <v>83</v>
      </c>
      <c r="R651" s="2" t="s">
        <v>34</v>
      </c>
      <c r="S651" s="2" t="s">
        <v>84</v>
      </c>
      <c r="T651" s="2" t="s">
        <v>18</v>
      </c>
      <c r="U651" s="2" t="s">
        <v>3520</v>
      </c>
    </row>
    <row r="652" spans="1:21">
      <c r="A652" s="2" t="s">
        <v>3521</v>
      </c>
      <c r="B652" s="2" t="s">
        <v>46</v>
      </c>
      <c r="C652" s="2" t="s">
        <v>3522</v>
      </c>
      <c r="D652" s="2" t="s">
        <v>3523</v>
      </c>
      <c r="E652" s="2" t="s">
        <v>3524</v>
      </c>
      <c r="F652" s="2" t="s">
        <v>3525</v>
      </c>
      <c r="G652" s="2" t="s">
        <v>3526</v>
      </c>
      <c r="H652" s="2" t="s">
        <v>3527</v>
      </c>
      <c r="I652" s="2" t="s">
        <v>0</v>
      </c>
      <c r="J652" s="2" t="s">
        <v>0</v>
      </c>
      <c r="K652" s="2" t="s">
        <v>3528</v>
      </c>
      <c r="L652" s="2" t="s">
        <v>3489</v>
      </c>
      <c r="M652" s="2" t="s">
        <v>0</v>
      </c>
      <c r="N652" s="2" t="s">
        <v>12</v>
      </c>
      <c r="O652" s="2" t="s">
        <v>13</v>
      </c>
      <c r="P652" s="2" t="s">
        <v>149</v>
      </c>
      <c r="Q652" s="2" t="s">
        <v>1018</v>
      </c>
      <c r="R652" s="2" t="s">
        <v>1019</v>
      </c>
      <c r="S652" s="2" t="s">
        <v>17</v>
      </c>
      <c r="T652" s="2" t="s">
        <v>18</v>
      </c>
      <c r="U652" s="2" t="s">
        <v>0</v>
      </c>
    </row>
    <row r="653" spans="1:21">
      <c r="A653" s="2" t="s">
        <v>3529</v>
      </c>
      <c r="B653" s="2" t="s">
        <v>3</v>
      </c>
      <c r="C653" s="2" t="s">
        <v>3530</v>
      </c>
      <c r="D653" s="2" t="s">
        <v>3531</v>
      </c>
      <c r="E653" s="2" t="s">
        <v>3532</v>
      </c>
      <c r="F653" s="2" t="s">
        <v>3485</v>
      </c>
      <c r="G653" s="2" t="s">
        <v>3486</v>
      </c>
      <c r="H653" s="2" t="s">
        <v>3527</v>
      </c>
      <c r="I653" s="2" t="s">
        <v>0</v>
      </c>
      <c r="J653" s="2" t="s">
        <v>0</v>
      </c>
      <c r="K653" s="2" t="s">
        <v>3528</v>
      </c>
      <c r="L653" s="2" t="s">
        <v>3489</v>
      </c>
      <c r="M653" s="2" t="s">
        <v>0</v>
      </c>
      <c r="N653" s="2" t="s">
        <v>12</v>
      </c>
      <c r="O653" s="2" t="s">
        <v>13</v>
      </c>
      <c r="P653" s="2" t="s">
        <v>14</v>
      </c>
      <c r="Q653" s="2" t="s">
        <v>15</v>
      </c>
      <c r="R653" s="2" t="s">
        <v>16</v>
      </c>
      <c r="S653" s="2" t="s">
        <v>17</v>
      </c>
      <c r="T653" s="2" t="s">
        <v>18</v>
      </c>
      <c r="U653" s="2" t="s">
        <v>3533</v>
      </c>
    </row>
    <row r="654" spans="1:21">
      <c r="A654" s="2" t="s">
        <v>3534</v>
      </c>
      <c r="B654" s="2" t="s">
        <v>3</v>
      </c>
      <c r="C654" s="2" t="s">
        <v>1605</v>
      </c>
      <c r="D654" s="2" t="s">
        <v>3535</v>
      </c>
      <c r="E654" s="2" t="s">
        <v>3536</v>
      </c>
      <c r="F654" s="2" t="s">
        <v>7</v>
      </c>
      <c r="G654" s="2" t="s">
        <v>8</v>
      </c>
      <c r="H654" s="2" t="s">
        <v>3527</v>
      </c>
      <c r="I654" s="2" t="s">
        <v>0</v>
      </c>
      <c r="J654" s="2" t="s">
        <v>0</v>
      </c>
      <c r="K654" s="2" t="s">
        <v>3528</v>
      </c>
      <c r="L654" s="2" t="s">
        <v>3489</v>
      </c>
      <c r="M654" s="2" t="s">
        <v>0</v>
      </c>
      <c r="N654" s="2" t="s">
        <v>12</v>
      </c>
      <c r="O654" s="2" t="s">
        <v>13</v>
      </c>
      <c r="P654" s="2" t="s">
        <v>14</v>
      </c>
      <c r="Q654" s="2" t="s">
        <v>52</v>
      </c>
      <c r="R654" s="2" t="s">
        <v>53</v>
      </c>
      <c r="S654" s="2" t="s">
        <v>17</v>
      </c>
      <c r="T654" s="2" t="s">
        <v>18</v>
      </c>
      <c r="U654" s="2" t="s">
        <v>0</v>
      </c>
    </row>
    <row r="655" spans="1:21">
      <c r="A655" s="2" t="s">
        <v>3537</v>
      </c>
      <c r="B655" s="2" t="s">
        <v>46</v>
      </c>
      <c r="C655" s="2" t="s">
        <v>3538</v>
      </c>
      <c r="D655" s="2" t="s">
        <v>3539</v>
      </c>
      <c r="E655" s="2" t="s">
        <v>3540</v>
      </c>
      <c r="F655" s="2" t="s">
        <v>3485</v>
      </c>
      <c r="G655" s="2" t="s">
        <v>3486</v>
      </c>
      <c r="H655" s="2" t="s">
        <v>3527</v>
      </c>
      <c r="I655" s="2" t="s">
        <v>0</v>
      </c>
      <c r="J655" s="2" t="s">
        <v>0</v>
      </c>
      <c r="K655" s="2" t="s">
        <v>3528</v>
      </c>
      <c r="L655" s="2" t="s">
        <v>3489</v>
      </c>
      <c r="M655" s="2" t="s">
        <v>0</v>
      </c>
      <c r="N655" s="2" t="s">
        <v>12</v>
      </c>
      <c r="O655" s="2" t="s">
        <v>13</v>
      </c>
      <c r="P655" s="2" t="s">
        <v>14</v>
      </c>
      <c r="Q655" s="2" t="s">
        <v>52</v>
      </c>
      <c r="R655" s="2" t="s">
        <v>53</v>
      </c>
      <c r="S655" s="2" t="s">
        <v>17</v>
      </c>
      <c r="T655" s="2" t="s">
        <v>18</v>
      </c>
      <c r="U655" s="2" t="s">
        <v>0</v>
      </c>
    </row>
    <row r="656" spans="1:21">
      <c r="A656" s="2" t="s">
        <v>3541</v>
      </c>
      <c r="B656" s="2" t="s">
        <v>46</v>
      </c>
      <c r="C656" s="2" t="s">
        <v>2237</v>
      </c>
      <c r="D656" s="2" t="s">
        <v>3542</v>
      </c>
      <c r="E656" s="2" t="s">
        <v>3543</v>
      </c>
      <c r="F656" s="2" t="s">
        <v>3544</v>
      </c>
      <c r="G656" s="2" t="s">
        <v>3545</v>
      </c>
      <c r="H656" s="2" t="s">
        <v>3527</v>
      </c>
      <c r="I656" s="2" t="s">
        <v>0</v>
      </c>
      <c r="J656" s="2" t="s">
        <v>0</v>
      </c>
      <c r="K656" s="2" t="s">
        <v>3528</v>
      </c>
      <c r="L656" s="2" t="s">
        <v>3489</v>
      </c>
      <c r="M656" s="2" t="s">
        <v>0</v>
      </c>
      <c r="N656" s="2" t="s">
        <v>12</v>
      </c>
      <c r="O656" s="2" t="s">
        <v>13</v>
      </c>
      <c r="P656" s="2" t="s">
        <v>14</v>
      </c>
      <c r="Q656" s="2" t="s">
        <v>52</v>
      </c>
      <c r="R656" s="2" t="s">
        <v>53</v>
      </c>
      <c r="S656" s="2" t="s">
        <v>17</v>
      </c>
      <c r="T656" s="2" t="s">
        <v>18</v>
      </c>
      <c r="U656" s="2" t="s">
        <v>0</v>
      </c>
    </row>
    <row r="657" spans="1:21">
      <c r="A657" s="2" t="s">
        <v>3546</v>
      </c>
      <c r="B657" s="2" t="s">
        <v>27</v>
      </c>
      <c r="C657" s="2" t="s">
        <v>2634</v>
      </c>
      <c r="D657" s="2" t="s">
        <v>3547</v>
      </c>
      <c r="E657" s="2" t="s">
        <v>3548</v>
      </c>
      <c r="F657" s="2" t="s">
        <v>3549</v>
      </c>
      <c r="G657" s="2" t="s">
        <v>3550</v>
      </c>
      <c r="H657" s="2" t="s">
        <v>3527</v>
      </c>
      <c r="I657" s="2" t="s">
        <v>0</v>
      </c>
      <c r="J657" s="2" t="s">
        <v>0</v>
      </c>
      <c r="K657" s="2" t="s">
        <v>3528</v>
      </c>
      <c r="L657" s="2" t="s">
        <v>3489</v>
      </c>
      <c r="M657" s="2" t="s">
        <v>0</v>
      </c>
      <c r="N657" s="2" t="s">
        <v>12</v>
      </c>
      <c r="O657" s="2" t="s">
        <v>13</v>
      </c>
      <c r="P657" s="2" t="s">
        <v>14</v>
      </c>
      <c r="Q657" s="2" t="s">
        <v>52</v>
      </c>
      <c r="R657" s="2" t="s">
        <v>53</v>
      </c>
      <c r="S657" s="2" t="s">
        <v>17</v>
      </c>
      <c r="T657" s="2" t="s">
        <v>35</v>
      </c>
      <c r="U657" s="2" t="s">
        <v>3551</v>
      </c>
    </row>
    <row r="658" spans="1:21">
      <c r="A658" s="2" t="s">
        <v>3552</v>
      </c>
      <c r="B658" s="2" t="s">
        <v>27</v>
      </c>
      <c r="C658" s="2" t="s">
        <v>3553</v>
      </c>
      <c r="D658" s="2" t="s">
        <v>3554</v>
      </c>
      <c r="E658" s="2" t="s">
        <v>3555</v>
      </c>
      <c r="F658" s="2" t="s">
        <v>3525</v>
      </c>
      <c r="G658" s="2" t="s">
        <v>3556</v>
      </c>
      <c r="H658" s="2" t="s">
        <v>3527</v>
      </c>
      <c r="I658" s="2" t="s">
        <v>0</v>
      </c>
      <c r="J658" s="2" t="s">
        <v>0</v>
      </c>
      <c r="K658" s="2" t="s">
        <v>3528</v>
      </c>
      <c r="L658" s="2" t="s">
        <v>3489</v>
      </c>
      <c r="M658" s="2" t="s">
        <v>0</v>
      </c>
      <c r="N658" s="2" t="s">
        <v>12</v>
      </c>
      <c r="O658" s="2" t="s">
        <v>13</v>
      </c>
      <c r="P658" s="2" t="s">
        <v>14</v>
      </c>
      <c r="Q658" s="2" t="s">
        <v>52</v>
      </c>
      <c r="R658" s="2" t="s">
        <v>53</v>
      </c>
      <c r="S658" s="2" t="s">
        <v>17</v>
      </c>
      <c r="T658" s="2" t="s">
        <v>35</v>
      </c>
      <c r="U658" s="2" t="s">
        <v>0</v>
      </c>
    </row>
    <row r="659" spans="1:21">
      <c r="A659" s="2" t="s">
        <v>3557</v>
      </c>
      <c r="B659" s="2" t="s">
        <v>3</v>
      </c>
      <c r="C659" s="2" t="s">
        <v>3558</v>
      </c>
      <c r="D659" s="2" t="s">
        <v>3559</v>
      </c>
      <c r="E659" s="2" t="s">
        <v>3560</v>
      </c>
      <c r="F659" s="2" t="s">
        <v>3485</v>
      </c>
      <c r="G659" s="2" t="s">
        <v>3486</v>
      </c>
      <c r="H659" s="2" t="s">
        <v>3527</v>
      </c>
      <c r="I659" s="2" t="s">
        <v>0</v>
      </c>
      <c r="J659" s="2" t="s">
        <v>0</v>
      </c>
      <c r="K659" s="2" t="s">
        <v>3528</v>
      </c>
      <c r="L659" s="2" t="s">
        <v>3489</v>
      </c>
      <c r="M659" s="2" t="s">
        <v>0</v>
      </c>
      <c r="N659" s="2" t="s">
        <v>12</v>
      </c>
      <c r="O659" s="2" t="s">
        <v>13</v>
      </c>
      <c r="P659" s="2" t="s">
        <v>14</v>
      </c>
      <c r="Q659" s="2" t="s">
        <v>52</v>
      </c>
      <c r="R659" s="2" t="s">
        <v>53</v>
      </c>
      <c r="S659" s="2" t="s">
        <v>17</v>
      </c>
      <c r="T659" s="2" t="s">
        <v>18</v>
      </c>
      <c r="U659" s="2" t="s">
        <v>0</v>
      </c>
    </row>
    <row r="660" spans="1:21">
      <c r="A660" s="2" t="s">
        <v>3561</v>
      </c>
      <c r="B660" s="2" t="s">
        <v>3</v>
      </c>
      <c r="C660" s="2" t="s">
        <v>1563</v>
      </c>
      <c r="D660" s="2" t="s">
        <v>3562</v>
      </c>
      <c r="E660" s="2" t="s">
        <v>3563</v>
      </c>
      <c r="F660" s="2" t="s">
        <v>3504</v>
      </c>
      <c r="G660" s="2" t="s">
        <v>3505</v>
      </c>
      <c r="H660" s="2" t="s">
        <v>3527</v>
      </c>
      <c r="I660" s="2" t="s">
        <v>0</v>
      </c>
      <c r="J660" s="2" t="s">
        <v>0</v>
      </c>
      <c r="K660" s="2" t="s">
        <v>3528</v>
      </c>
      <c r="L660" s="2" t="s">
        <v>3489</v>
      </c>
      <c r="M660" s="2" t="s">
        <v>0</v>
      </c>
      <c r="N660" s="2" t="s">
        <v>12</v>
      </c>
      <c r="O660" s="2" t="s">
        <v>13</v>
      </c>
      <c r="P660" s="2" t="s">
        <v>14</v>
      </c>
      <c r="Q660" s="2" t="s">
        <v>52</v>
      </c>
      <c r="R660" s="2" t="s">
        <v>53</v>
      </c>
      <c r="S660" s="2" t="s">
        <v>17</v>
      </c>
      <c r="T660" s="2" t="s">
        <v>18</v>
      </c>
      <c r="U660" s="2" t="s">
        <v>3564</v>
      </c>
    </row>
    <row r="661" spans="1:21">
      <c r="A661" s="2" t="s">
        <v>3565</v>
      </c>
      <c r="B661" s="2" t="s">
        <v>3</v>
      </c>
      <c r="C661" s="2" t="s">
        <v>3566</v>
      </c>
      <c r="D661" s="2" t="s">
        <v>3567</v>
      </c>
      <c r="E661" s="2" t="s">
        <v>3568</v>
      </c>
      <c r="F661" s="2" t="s">
        <v>3485</v>
      </c>
      <c r="G661" s="2" t="s">
        <v>3486</v>
      </c>
      <c r="H661" s="2" t="s">
        <v>3527</v>
      </c>
      <c r="I661" s="2" t="s">
        <v>0</v>
      </c>
      <c r="J661" s="2" t="s">
        <v>0</v>
      </c>
      <c r="K661" s="2" t="s">
        <v>3528</v>
      </c>
      <c r="L661" s="2" t="s">
        <v>3489</v>
      </c>
      <c r="M661" s="2" t="s">
        <v>0</v>
      </c>
      <c r="N661" s="2" t="s">
        <v>12</v>
      </c>
      <c r="O661" s="2" t="s">
        <v>13</v>
      </c>
      <c r="P661" s="2" t="s">
        <v>14</v>
      </c>
      <c r="Q661" s="2" t="s">
        <v>52</v>
      </c>
      <c r="R661" s="2" t="s">
        <v>53</v>
      </c>
      <c r="S661" s="2" t="s">
        <v>17</v>
      </c>
      <c r="T661" s="2" t="s">
        <v>18</v>
      </c>
      <c r="U661" s="2" t="s">
        <v>0</v>
      </c>
    </row>
    <row r="662" spans="1:21">
      <c r="A662" s="2" t="s">
        <v>3569</v>
      </c>
      <c r="B662" s="2" t="s">
        <v>46</v>
      </c>
      <c r="C662" s="2" t="s">
        <v>3570</v>
      </c>
      <c r="D662" s="2" t="s">
        <v>3571</v>
      </c>
      <c r="E662" s="2" t="s">
        <v>3572</v>
      </c>
      <c r="F662" s="2" t="s">
        <v>3485</v>
      </c>
      <c r="G662" s="2" t="s">
        <v>3486</v>
      </c>
      <c r="H662" s="2" t="s">
        <v>3527</v>
      </c>
      <c r="I662" s="2" t="s">
        <v>0</v>
      </c>
      <c r="J662" s="2" t="s">
        <v>0</v>
      </c>
      <c r="K662" s="2" t="s">
        <v>3528</v>
      </c>
      <c r="L662" s="2" t="s">
        <v>3489</v>
      </c>
      <c r="M662" s="2" t="s">
        <v>0</v>
      </c>
      <c r="N662" s="2" t="s">
        <v>12</v>
      </c>
      <c r="O662" s="2" t="s">
        <v>13</v>
      </c>
      <c r="P662" s="2" t="s">
        <v>14</v>
      </c>
      <c r="Q662" s="2" t="s">
        <v>52</v>
      </c>
      <c r="R662" s="2" t="s">
        <v>53</v>
      </c>
      <c r="S662" s="2" t="s">
        <v>17</v>
      </c>
      <c r="T662" s="2" t="s">
        <v>18</v>
      </c>
      <c r="U662" s="2" t="s">
        <v>0</v>
      </c>
    </row>
    <row r="663" spans="1:21">
      <c r="A663" s="2" t="s">
        <v>3573</v>
      </c>
      <c r="B663" s="2" t="s">
        <v>3</v>
      </c>
      <c r="C663" s="2" t="s">
        <v>3574</v>
      </c>
      <c r="D663" s="2" t="s">
        <v>3575</v>
      </c>
      <c r="E663" s="2" t="s">
        <v>3576</v>
      </c>
      <c r="F663" s="2" t="s">
        <v>3544</v>
      </c>
      <c r="G663" s="2" t="s">
        <v>3545</v>
      </c>
      <c r="H663" s="2" t="s">
        <v>3527</v>
      </c>
      <c r="I663" s="2" t="s">
        <v>0</v>
      </c>
      <c r="J663" s="2" t="s">
        <v>0</v>
      </c>
      <c r="K663" s="2" t="s">
        <v>3528</v>
      </c>
      <c r="L663" s="2" t="s">
        <v>3489</v>
      </c>
      <c r="M663" s="2" t="s">
        <v>0</v>
      </c>
      <c r="N663" s="2" t="s">
        <v>12</v>
      </c>
      <c r="O663" s="2" t="s">
        <v>13</v>
      </c>
      <c r="P663" s="2" t="s">
        <v>14</v>
      </c>
      <c r="Q663" s="2" t="s">
        <v>52</v>
      </c>
      <c r="R663" s="2" t="s">
        <v>53</v>
      </c>
      <c r="S663" s="2" t="s">
        <v>17</v>
      </c>
      <c r="T663" s="2" t="s">
        <v>18</v>
      </c>
      <c r="U663" s="2" t="s">
        <v>0</v>
      </c>
    </row>
    <row r="664" spans="1:21">
      <c r="A664" s="2" t="s">
        <v>3577</v>
      </c>
      <c r="B664" s="2" t="s">
        <v>3</v>
      </c>
      <c r="C664" s="2" t="s">
        <v>3578</v>
      </c>
      <c r="D664" s="2" t="s">
        <v>3579</v>
      </c>
      <c r="E664" s="2" t="s">
        <v>3580</v>
      </c>
      <c r="F664" s="2" t="s">
        <v>3485</v>
      </c>
      <c r="G664" s="2" t="s">
        <v>3486</v>
      </c>
      <c r="H664" s="2" t="s">
        <v>3527</v>
      </c>
      <c r="I664" s="2" t="s">
        <v>0</v>
      </c>
      <c r="J664" s="2" t="s">
        <v>0</v>
      </c>
      <c r="K664" s="2" t="s">
        <v>3528</v>
      </c>
      <c r="L664" s="2" t="s">
        <v>3489</v>
      </c>
      <c r="M664" s="2" t="s">
        <v>0</v>
      </c>
      <c r="N664" s="2" t="s">
        <v>12</v>
      </c>
      <c r="O664" s="2" t="s">
        <v>13</v>
      </c>
      <c r="P664" s="2" t="s">
        <v>14</v>
      </c>
      <c r="Q664" s="2" t="s">
        <v>52</v>
      </c>
      <c r="R664" s="2" t="s">
        <v>53</v>
      </c>
      <c r="S664" s="2" t="s">
        <v>17</v>
      </c>
      <c r="T664" s="2" t="s">
        <v>18</v>
      </c>
      <c r="U664" s="2" t="s">
        <v>0</v>
      </c>
    </row>
    <row r="665" spans="1:21">
      <c r="A665" s="2" t="s">
        <v>3581</v>
      </c>
      <c r="B665" s="2" t="s">
        <v>3</v>
      </c>
      <c r="C665" s="2" t="s">
        <v>3582</v>
      </c>
      <c r="D665" s="2" t="s">
        <v>3583</v>
      </c>
      <c r="E665" s="2" t="s">
        <v>3584</v>
      </c>
      <c r="F665" s="2" t="s">
        <v>3485</v>
      </c>
      <c r="G665" s="2" t="s">
        <v>3486</v>
      </c>
      <c r="H665" s="2" t="s">
        <v>3527</v>
      </c>
      <c r="I665" s="2" t="s">
        <v>0</v>
      </c>
      <c r="J665" s="2" t="s">
        <v>0</v>
      </c>
      <c r="K665" s="2" t="s">
        <v>3528</v>
      </c>
      <c r="L665" s="2" t="s">
        <v>3489</v>
      </c>
      <c r="M665" s="2" t="s">
        <v>0</v>
      </c>
      <c r="N665" s="2" t="s">
        <v>12</v>
      </c>
      <c r="O665" s="2" t="s">
        <v>13</v>
      </c>
      <c r="P665" s="2" t="s">
        <v>14</v>
      </c>
      <c r="Q665" s="2" t="s">
        <v>52</v>
      </c>
      <c r="R665" s="2" t="s">
        <v>53</v>
      </c>
      <c r="S665" s="2" t="s">
        <v>17</v>
      </c>
      <c r="T665" s="2" t="s">
        <v>18</v>
      </c>
      <c r="U665" s="2" t="s">
        <v>0</v>
      </c>
    </row>
    <row r="666" spans="1:21">
      <c r="A666" s="2" t="s">
        <v>3585</v>
      </c>
      <c r="B666" s="2" t="s">
        <v>46</v>
      </c>
      <c r="C666" s="2" t="s">
        <v>3586</v>
      </c>
      <c r="D666" s="2" t="s">
        <v>3587</v>
      </c>
      <c r="E666" s="2" t="s">
        <v>3588</v>
      </c>
      <c r="F666" s="2" t="s">
        <v>3485</v>
      </c>
      <c r="G666" s="2" t="s">
        <v>3486</v>
      </c>
      <c r="H666" s="2" t="s">
        <v>3527</v>
      </c>
      <c r="I666" s="2" t="s">
        <v>0</v>
      </c>
      <c r="J666" s="2" t="s">
        <v>0</v>
      </c>
      <c r="K666" s="2" t="s">
        <v>3528</v>
      </c>
      <c r="L666" s="2" t="s">
        <v>3489</v>
      </c>
      <c r="M666" s="2" t="s">
        <v>0</v>
      </c>
      <c r="N666" s="2" t="s">
        <v>12</v>
      </c>
      <c r="O666" s="2" t="s">
        <v>13</v>
      </c>
      <c r="P666" s="2" t="s">
        <v>14</v>
      </c>
      <c r="Q666" s="2" t="s">
        <v>52</v>
      </c>
      <c r="R666" s="2" t="s">
        <v>53</v>
      </c>
      <c r="S666" s="2" t="s">
        <v>17</v>
      </c>
      <c r="T666" s="2" t="s">
        <v>18</v>
      </c>
      <c r="U666" s="2" t="s">
        <v>0</v>
      </c>
    </row>
    <row r="667" spans="1:21">
      <c r="A667" s="2" t="s">
        <v>3589</v>
      </c>
      <c r="B667" s="2" t="s">
        <v>3</v>
      </c>
      <c r="C667" s="2" t="s">
        <v>3590</v>
      </c>
      <c r="D667" s="2" t="s">
        <v>3591</v>
      </c>
      <c r="E667" s="2" t="s">
        <v>3592</v>
      </c>
      <c r="F667" s="2" t="s">
        <v>3485</v>
      </c>
      <c r="G667" s="2" t="s">
        <v>3486</v>
      </c>
      <c r="H667" s="2" t="s">
        <v>3527</v>
      </c>
      <c r="I667" s="2" t="s">
        <v>0</v>
      </c>
      <c r="J667" s="2" t="s">
        <v>0</v>
      </c>
      <c r="K667" s="2" t="s">
        <v>3528</v>
      </c>
      <c r="L667" s="2" t="s">
        <v>3489</v>
      </c>
      <c r="M667" s="2" t="s">
        <v>0</v>
      </c>
      <c r="N667" s="2" t="s">
        <v>12</v>
      </c>
      <c r="O667" s="2" t="s">
        <v>13</v>
      </c>
      <c r="P667" s="2" t="s">
        <v>14</v>
      </c>
      <c r="Q667" s="2" t="s">
        <v>52</v>
      </c>
      <c r="R667" s="2" t="s">
        <v>53</v>
      </c>
      <c r="S667" s="2" t="s">
        <v>17</v>
      </c>
      <c r="T667" s="2" t="s">
        <v>18</v>
      </c>
      <c r="U667" s="2" t="s">
        <v>0</v>
      </c>
    </row>
    <row r="668" spans="1:21">
      <c r="A668" s="2" t="s">
        <v>3593</v>
      </c>
      <c r="B668" s="2" t="s">
        <v>3</v>
      </c>
      <c r="C668" s="2" t="s">
        <v>3594</v>
      </c>
      <c r="D668" s="2" t="s">
        <v>3595</v>
      </c>
      <c r="E668" s="2" t="s">
        <v>3596</v>
      </c>
      <c r="F668" s="2" t="s">
        <v>3485</v>
      </c>
      <c r="G668" s="2" t="s">
        <v>3486</v>
      </c>
      <c r="H668" s="2" t="s">
        <v>3527</v>
      </c>
      <c r="I668" s="2" t="s">
        <v>0</v>
      </c>
      <c r="J668" s="2" t="s">
        <v>0</v>
      </c>
      <c r="K668" s="2" t="s">
        <v>3528</v>
      </c>
      <c r="L668" s="2" t="s">
        <v>3489</v>
      </c>
      <c r="M668" s="2" t="s">
        <v>0</v>
      </c>
      <c r="N668" s="2" t="s">
        <v>12</v>
      </c>
      <c r="O668" s="2" t="s">
        <v>13</v>
      </c>
      <c r="P668" s="2" t="s">
        <v>14</v>
      </c>
      <c r="Q668" s="2" t="s">
        <v>52</v>
      </c>
      <c r="R668" s="2" t="s">
        <v>53</v>
      </c>
      <c r="S668" s="2" t="s">
        <v>17</v>
      </c>
      <c r="T668" s="2" t="s">
        <v>18</v>
      </c>
      <c r="U668" s="2" t="s">
        <v>0</v>
      </c>
    </row>
    <row r="669" spans="1:21">
      <c r="A669" s="2" t="s">
        <v>3597</v>
      </c>
      <c r="B669" s="2" t="s">
        <v>3</v>
      </c>
      <c r="C669" s="2" t="s">
        <v>3598</v>
      </c>
      <c r="D669" s="2" t="s">
        <v>3599</v>
      </c>
      <c r="E669" s="2" t="s">
        <v>3600</v>
      </c>
      <c r="F669" s="2" t="s">
        <v>3485</v>
      </c>
      <c r="G669" s="2" t="s">
        <v>3486</v>
      </c>
      <c r="H669" s="2" t="s">
        <v>3527</v>
      </c>
      <c r="I669" s="2" t="s">
        <v>0</v>
      </c>
      <c r="J669" s="2" t="s">
        <v>0</v>
      </c>
      <c r="K669" s="2" t="s">
        <v>3528</v>
      </c>
      <c r="L669" s="2" t="s">
        <v>3489</v>
      </c>
      <c r="M669" s="2" t="s">
        <v>0</v>
      </c>
      <c r="N669" s="2" t="s">
        <v>12</v>
      </c>
      <c r="O669" s="2" t="s">
        <v>13</v>
      </c>
      <c r="P669" s="2" t="s">
        <v>14</v>
      </c>
      <c r="Q669" s="2" t="s">
        <v>52</v>
      </c>
      <c r="R669" s="2" t="s">
        <v>53</v>
      </c>
      <c r="S669" s="2" t="s">
        <v>17</v>
      </c>
      <c r="T669" s="2" t="s">
        <v>18</v>
      </c>
      <c r="U669" s="2" t="s">
        <v>0</v>
      </c>
    </row>
    <row r="670" spans="1:21">
      <c r="A670" s="2" t="s">
        <v>3601</v>
      </c>
      <c r="B670" s="2" t="s">
        <v>27</v>
      </c>
      <c r="C670" s="2" t="s">
        <v>3602</v>
      </c>
      <c r="D670" s="2" t="s">
        <v>3603</v>
      </c>
      <c r="E670" s="2" t="s">
        <v>3604</v>
      </c>
      <c r="F670" s="2" t="s">
        <v>3605</v>
      </c>
      <c r="G670" s="2" t="s">
        <v>3606</v>
      </c>
      <c r="H670" s="2" t="s">
        <v>3607</v>
      </c>
      <c r="I670" s="2" t="s">
        <v>0</v>
      </c>
      <c r="J670" s="2" t="s">
        <v>3608</v>
      </c>
      <c r="K670" s="2" t="s">
        <v>0</v>
      </c>
      <c r="L670" s="2" t="s">
        <v>3489</v>
      </c>
      <c r="M670" s="2" t="s">
        <v>0</v>
      </c>
      <c r="N670" s="2" t="s">
        <v>12</v>
      </c>
      <c r="O670" s="2" t="s">
        <v>13</v>
      </c>
      <c r="P670" s="2" t="s">
        <v>33</v>
      </c>
      <c r="Q670" s="2" t="s">
        <v>83</v>
      </c>
      <c r="R670" s="2" t="s">
        <v>34</v>
      </c>
      <c r="S670" s="2" t="s">
        <v>84</v>
      </c>
      <c r="T670" s="2" t="s">
        <v>35</v>
      </c>
      <c r="U670" s="2" t="s">
        <v>3609</v>
      </c>
    </row>
    <row r="671" spans="1:21">
      <c r="A671" s="2" t="s">
        <v>3610</v>
      </c>
      <c r="B671" s="2" t="s">
        <v>3</v>
      </c>
      <c r="C671" s="2" t="s">
        <v>3611</v>
      </c>
      <c r="D671" s="2" t="s">
        <v>3612</v>
      </c>
      <c r="E671" s="2" t="s">
        <v>3613</v>
      </c>
      <c r="F671" s="2" t="s">
        <v>3614</v>
      </c>
      <c r="G671" s="2" t="s">
        <v>3615</v>
      </c>
      <c r="H671" s="2" t="s">
        <v>3607</v>
      </c>
      <c r="I671" s="2" t="s">
        <v>0</v>
      </c>
      <c r="J671" s="2" t="s">
        <v>3608</v>
      </c>
      <c r="K671" s="2" t="s">
        <v>0</v>
      </c>
      <c r="L671" s="2" t="s">
        <v>3489</v>
      </c>
      <c r="M671" s="2" t="s">
        <v>0</v>
      </c>
      <c r="N671" s="2" t="s">
        <v>12</v>
      </c>
      <c r="O671" s="2" t="s">
        <v>13</v>
      </c>
      <c r="P671" s="2" t="s">
        <v>33</v>
      </c>
      <c r="Q671" s="2" t="s">
        <v>83</v>
      </c>
      <c r="R671" s="2" t="s">
        <v>34</v>
      </c>
      <c r="S671" s="2" t="s">
        <v>205</v>
      </c>
      <c r="T671" s="2" t="s">
        <v>18</v>
      </c>
      <c r="U671" s="2" t="s">
        <v>0</v>
      </c>
    </row>
    <row r="672" spans="1:21">
      <c r="A672" s="2" t="s">
        <v>3616</v>
      </c>
      <c r="B672" s="2" t="s">
        <v>3</v>
      </c>
      <c r="C672" s="2" t="s">
        <v>3617</v>
      </c>
      <c r="D672" s="2" t="s">
        <v>3618</v>
      </c>
      <c r="E672" s="2" t="s">
        <v>3619</v>
      </c>
      <c r="F672" s="2" t="s">
        <v>3620</v>
      </c>
      <c r="G672" s="2" t="s">
        <v>3621</v>
      </c>
      <c r="H672" s="2" t="s">
        <v>3607</v>
      </c>
      <c r="I672" s="2" t="s">
        <v>0</v>
      </c>
      <c r="J672" s="2" t="s">
        <v>3608</v>
      </c>
      <c r="K672" s="2" t="s">
        <v>0</v>
      </c>
      <c r="L672" s="2" t="s">
        <v>3489</v>
      </c>
      <c r="M672" s="2" t="s">
        <v>0</v>
      </c>
      <c r="N672" s="2" t="s">
        <v>12</v>
      </c>
      <c r="O672" s="2" t="s">
        <v>13</v>
      </c>
      <c r="P672" s="2" t="s">
        <v>14</v>
      </c>
      <c r="Q672" s="2" t="s">
        <v>52</v>
      </c>
      <c r="R672" s="2" t="s">
        <v>53</v>
      </c>
      <c r="S672" s="2" t="s">
        <v>17</v>
      </c>
      <c r="T672" s="2" t="s">
        <v>18</v>
      </c>
      <c r="U672" s="2" t="s">
        <v>3622</v>
      </c>
    </row>
    <row r="673" spans="1:21">
      <c r="A673" s="2" t="s">
        <v>3623</v>
      </c>
      <c r="B673" s="2" t="s">
        <v>27</v>
      </c>
      <c r="C673" s="2" t="s">
        <v>3624</v>
      </c>
      <c r="D673" s="2" t="s">
        <v>3625</v>
      </c>
      <c r="E673" s="2" t="s">
        <v>3626</v>
      </c>
      <c r="F673" s="2" t="s">
        <v>3627</v>
      </c>
      <c r="G673" s="2" t="s">
        <v>3628</v>
      </c>
      <c r="H673" s="2" t="s">
        <v>3629</v>
      </c>
      <c r="I673" s="2" t="s">
        <v>0</v>
      </c>
      <c r="J673" s="2" t="s">
        <v>0</v>
      </c>
      <c r="K673" s="2" t="s">
        <v>0</v>
      </c>
      <c r="L673" s="2" t="s">
        <v>0</v>
      </c>
      <c r="M673" s="2" t="s">
        <v>3489</v>
      </c>
      <c r="N673" s="2" t="s">
        <v>12</v>
      </c>
      <c r="O673" s="2" t="s">
        <v>82</v>
      </c>
      <c r="P673" s="2" t="s">
        <v>33</v>
      </c>
      <c r="Q673" s="2" t="s">
        <v>83</v>
      </c>
      <c r="R673" s="2" t="s">
        <v>34</v>
      </c>
      <c r="S673" s="2" t="s">
        <v>84</v>
      </c>
      <c r="T673" s="2" t="s">
        <v>35</v>
      </c>
      <c r="U673" s="2" t="s">
        <v>3630</v>
      </c>
    </row>
    <row r="674" spans="1:21">
      <c r="A674" s="2" t="s">
        <v>3631</v>
      </c>
      <c r="B674" s="2" t="s">
        <v>3</v>
      </c>
      <c r="C674" s="2" t="s">
        <v>3632</v>
      </c>
      <c r="D674" s="2" t="s">
        <v>3633</v>
      </c>
      <c r="E674" s="2" t="s">
        <v>3634</v>
      </c>
      <c r="F674" s="2" t="s">
        <v>203</v>
      </c>
      <c r="G674" s="2" t="s">
        <v>204</v>
      </c>
      <c r="H674" s="2" t="s">
        <v>3629</v>
      </c>
      <c r="I674" s="2" t="s">
        <v>0</v>
      </c>
      <c r="J674" s="2" t="s">
        <v>0</v>
      </c>
      <c r="K674" s="2" t="s">
        <v>0</v>
      </c>
      <c r="L674" s="2" t="s">
        <v>0</v>
      </c>
      <c r="M674" s="2" t="s">
        <v>3489</v>
      </c>
      <c r="N674" s="2" t="s">
        <v>12</v>
      </c>
      <c r="O674" s="2" t="s">
        <v>82</v>
      </c>
      <c r="P674" s="2" t="s">
        <v>33</v>
      </c>
      <c r="Q674" s="2" t="s">
        <v>83</v>
      </c>
      <c r="R674" s="2" t="s">
        <v>34</v>
      </c>
      <c r="S674" s="2" t="s">
        <v>84</v>
      </c>
      <c r="T674" s="2" t="s">
        <v>18</v>
      </c>
      <c r="U674" s="2" t="s">
        <v>0</v>
      </c>
    </row>
    <row r="675" spans="1:21">
      <c r="A675" s="2" t="s">
        <v>3635</v>
      </c>
      <c r="B675" s="2" t="s">
        <v>27</v>
      </c>
      <c r="C675" s="2" t="s">
        <v>1256</v>
      </c>
      <c r="D675" s="2" t="s">
        <v>3636</v>
      </c>
      <c r="E675" s="2" t="s">
        <v>3637</v>
      </c>
      <c r="F675" s="2" t="s">
        <v>3638</v>
      </c>
      <c r="G675" s="2" t="s">
        <v>3639</v>
      </c>
      <c r="H675" s="2" t="s">
        <v>3640</v>
      </c>
      <c r="I675" s="2" t="s">
        <v>3641</v>
      </c>
      <c r="J675" s="2" t="s">
        <v>0</v>
      </c>
      <c r="K675" s="2" t="s">
        <v>0</v>
      </c>
      <c r="L675" s="2" t="s">
        <v>3489</v>
      </c>
      <c r="M675" s="2" t="s">
        <v>0</v>
      </c>
      <c r="N675" s="2" t="s">
        <v>12</v>
      </c>
      <c r="O675" s="2" t="s">
        <v>13</v>
      </c>
      <c r="P675" s="2" t="s">
        <v>14</v>
      </c>
      <c r="Q675" s="2" t="s">
        <v>156</v>
      </c>
      <c r="R675" s="2" t="s">
        <v>838</v>
      </c>
      <c r="S675" s="2" t="s">
        <v>17</v>
      </c>
      <c r="T675" s="2" t="s">
        <v>35</v>
      </c>
      <c r="U675" s="2" t="s">
        <v>3642</v>
      </c>
    </row>
    <row r="676" spans="1:21">
      <c r="A676" s="2" t="s">
        <v>3643</v>
      </c>
      <c r="B676" s="2" t="s">
        <v>3</v>
      </c>
      <c r="C676" s="2" t="s">
        <v>3644</v>
      </c>
      <c r="D676" s="2" t="s">
        <v>3645</v>
      </c>
      <c r="E676" s="2" t="s">
        <v>3646</v>
      </c>
      <c r="F676" s="2" t="s">
        <v>3638</v>
      </c>
      <c r="G676" s="2" t="s">
        <v>3639</v>
      </c>
      <c r="H676" s="2" t="s">
        <v>3640</v>
      </c>
      <c r="I676" s="2" t="s">
        <v>3641</v>
      </c>
      <c r="J676" s="2" t="s">
        <v>0</v>
      </c>
      <c r="K676" s="2" t="s">
        <v>0</v>
      </c>
      <c r="L676" s="2" t="s">
        <v>3489</v>
      </c>
      <c r="M676" s="2" t="s">
        <v>0</v>
      </c>
      <c r="N676" s="2" t="s">
        <v>12</v>
      </c>
      <c r="O676" s="2" t="s">
        <v>13</v>
      </c>
      <c r="P676" s="2" t="s">
        <v>14</v>
      </c>
      <c r="Q676" s="2" t="s">
        <v>52</v>
      </c>
      <c r="R676" s="2" t="s">
        <v>53</v>
      </c>
      <c r="S676" s="2" t="s">
        <v>17</v>
      </c>
      <c r="T676" s="2" t="s">
        <v>18</v>
      </c>
      <c r="U676" s="2" t="s">
        <v>0</v>
      </c>
    </row>
    <row r="677" spans="1:21">
      <c r="A677" s="2" t="s">
        <v>3647</v>
      </c>
      <c r="B677" s="2" t="s">
        <v>27</v>
      </c>
      <c r="C677" s="2" t="s">
        <v>2163</v>
      </c>
      <c r="D677" s="2" t="s">
        <v>3648</v>
      </c>
      <c r="E677" s="2" t="s">
        <v>3649</v>
      </c>
      <c r="F677" s="2" t="s">
        <v>3650</v>
      </c>
      <c r="G677" s="2" t="s">
        <v>3651</v>
      </c>
      <c r="H677" s="2" t="s">
        <v>3640</v>
      </c>
      <c r="I677" s="2" t="s">
        <v>3641</v>
      </c>
      <c r="J677" s="2" t="s">
        <v>0</v>
      </c>
      <c r="K677" s="2" t="s">
        <v>0</v>
      </c>
      <c r="L677" s="2" t="s">
        <v>3489</v>
      </c>
      <c r="M677" s="2" t="s">
        <v>0</v>
      </c>
      <c r="N677" s="2" t="s">
        <v>12</v>
      </c>
      <c r="O677" s="2" t="s">
        <v>13</v>
      </c>
      <c r="P677" s="2" t="s">
        <v>14</v>
      </c>
      <c r="Q677" s="2" t="s">
        <v>52</v>
      </c>
      <c r="R677" s="2" t="s">
        <v>53</v>
      </c>
      <c r="S677" s="2" t="s">
        <v>17</v>
      </c>
      <c r="T677" s="2" t="s">
        <v>35</v>
      </c>
      <c r="U677" s="2" t="s">
        <v>3652</v>
      </c>
    </row>
    <row r="678" spans="1:21">
      <c r="A678" s="2" t="s">
        <v>3653</v>
      </c>
      <c r="B678" s="2" t="s">
        <v>27</v>
      </c>
      <c r="C678" s="2" t="s">
        <v>3654</v>
      </c>
      <c r="D678" s="2" t="s">
        <v>3655</v>
      </c>
      <c r="E678" s="2" t="s">
        <v>3656</v>
      </c>
      <c r="F678" s="2" t="s">
        <v>3638</v>
      </c>
      <c r="G678" s="2" t="s">
        <v>3639</v>
      </c>
      <c r="H678" s="2" t="s">
        <v>3640</v>
      </c>
      <c r="I678" s="2" t="s">
        <v>3641</v>
      </c>
      <c r="J678" s="2" t="s">
        <v>0</v>
      </c>
      <c r="K678" s="2" t="s">
        <v>0</v>
      </c>
      <c r="L678" s="2" t="s">
        <v>3489</v>
      </c>
      <c r="M678" s="2" t="s">
        <v>0</v>
      </c>
      <c r="N678" s="2" t="s">
        <v>12</v>
      </c>
      <c r="O678" s="2" t="s">
        <v>13</v>
      </c>
      <c r="P678" s="2" t="s">
        <v>14</v>
      </c>
      <c r="Q678" s="2" t="s">
        <v>52</v>
      </c>
      <c r="R678" s="2" t="s">
        <v>53</v>
      </c>
      <c r="S678" s="2" t="s">
        <v>17</v>
      </c>
      <c r="T678" s="2" t="s">
        <v>35</v>
      </c>
      <c r="U678" s="2" t="s">
        <v>0</v>
      </c>
    </row>
    <row r="679" spans="1:21">
      <c r="A679" s="2" t="s">
        <v>3657</v>
      </c>
      <c r="B679" s="2" t="s">
        <v>27</v>
      </c>
      <c r="C679" s="2" t="s">
        <v>3658</v>
      </c>
      <c r="D679" s="2" t="s">
        <v>3659</v>
      </c>
      <c r="E679" s="2" t="s">
        <v>3660</v>
      </c>
      <c r="F679" s="2" t="s">
        <v>3638</v>
      </c>
      <c r="G679" s="2" t="s">
        <v>3639</v>
      </c>
      <c r="H679" s="2" t="s">
        <v>3640</v>
      </c>
      <c r="I679" s="2" t="s">
        <v>3641</v>
      </c>
      <c r="J679" s="2" t="s">
        <v>0</v>
      </c>
      <c r="K679" s="2" t="s">
        <v>0</v>
      </c>
      <c r="L679" s="2" t="s">
        <v>3489</v>
      </c>
      <c r="M679" s="2" t="s">
        <v>0</v>
      </c>
      <c r="N679" s="2" t="s">
        <v>12</v>
      </c>
      <c r="O679" s="2" t="s">
        <v>13</v>
      </c>
      <c r="P679" s="2" t="s">
        <v>14</v>
      </c>
      <c r="Q679" s="2" t="s">
        <v>52</v>
      </c>
      <c r="R679" s="2" t="s">
        <v>53</v>
      </c>
      <c r="S679" s="2" t="s">
        <v>17</v>
      </c>
      <c r="T679" s="2" t="s">
        <v>35</v>
      </c>
      <c r="U679" s="2" t="s">
        <v>0</v>
      </c>
    </row>
    <row r="680" spans="1:21">
      <c r="A680" s="2" t="s">
        <v>3661</v>
      </c>
      <c r="B680" s="2" t="s">
        <v>27</v>
      </c>
      <c r="C680" s="2" t="s">
        <v>3662</v>
      </c>
      <c r="D680" s="2" t="s">
        <v>3663</v>
      </c>
      <c r="E680" s="2" t="s">
        <v>3664</v>
      </c>
      <c r="F680" s="2" t="s">
        <v>3638</v>
      </c>
      <c r="G680" s="2" t="s">
        <v>3639</v>
      </c>
      <c r="H680" s="2" t="s">
        <v>3640</v>
      </c>
      <c r="I680" s="2" t="s">
        <v>3641</v>
      </c>
      <c r="J680" s="2" t="s">
        <v>0</v>
      </c>
      <c r="K680" s="2" t="s">
        <v>0</v>
      </c>
      <c r="L680" s="2" t="s">
        <v>3489</v>
      </c>
      <c r="M680" s="2" t="s">
        <v>0</v>
      </c>
      <c r="N680" s="2" t="s">
        <v>12</v>
      </c>
      <c r="O680" s="2" t="s">
        <v>13</v>
      </c>
      <c r="P680" s="2" t="s">
        <v>14</v>
      </c>
      <c r="Q680" s="2" t="s">
        <v>52</v>
      </c>
      <c r="R680" s="2" t="s">
        <v>53</v>
      </c>
      <c r="S680" s="2" t="s">
        <v>17</v>
      </c>
      <c r="T680" s="2" t="s">
        <v>35</v>
      </c>
      <c r="U680" s="2" t="s">
        <v>0</v>
      </c>
    </row>
    <row r="681" spans="1:21">
      <c r="A681" s="2" t="s">
        <v>3665</v>
      </c>
      <c r="B681" s="2" t="s">
        <v>27</v>
      </c>
      <c r="C681" s="2" t="s">
        <v>3666</v>
      </c>
      <c r="D681" s="2" t="s">
        <v>3667</v>
      </c>
      <c r="E681" s="2" t="s">
        <v>3668</v>
      </c>
      <c r="F681" s="2" t="s">
        <v>3638</v>
      </c>
      <c r="G681" s="2" t="s">
        <v>3639</v>
      </c>
      <c r="H681" s="2" t="s">
        <v>3640</v>
      </c>
      <c r="I681" s="2" t="s">
        <v>3641</v>
      </c>
      <c r="J681" s="2" t="s">
        <v>0</v>
      </c>
      <c r="K681" s="2" t="s">
        <v>0</v>
      </c>
      <c r="L681" s="2" t="s">
        <v>3489</v>
      </c>
      <c r="M681" s="2" t="s">
        <v>0</v>
      </c>
      <c r="N681" s="2" t="s">
        <v>12</v>
      </c>
      <c r="O681" s="2" t="s">
        <v>13</v>
      </c>
      <c r="P681" s="2" t="s">
        <v>14</v>
      </c>
      <c r="Q681" s="2" t="s">
        <v>52</v>
      </c>
      <c r="R681" s="2" t="s">
        <v>53</v>
      </c>
      <c r="S681" s="2" t="s">
        <v>17</v>
      </c>
      <c r="T681" s="2" t="s">
        <v>35</v>
      </c>
      <c r="U681" s="2" t="s">
        <v>0</v>
      </c>
    </row>
    <row r="682" spans="1:21">
      <c r="A682" s="2" t="s">
        <v>3669</v>
      </c>
      <c r="B682" s="2" t="s">
        <v>27</v>
      </c>
      <c r="C682" s="2" t="s">
        <v>3670</v>
      </c>
      <c r="D682" s="2" t="s">
        <v>3671</v>
      </c>
      <c r="E682" s="2" t="s">
        <v>3672</v>
      </c>
      <c r="F682" s="2" t="s">
        <v>3638</v>
      </c>
      <c r="G682" s="2" t="s">
        <v>3639</v>
      </c>
      <c r="H682" s="2" t="s">
        <v>3640</v>
      </c>
      <c r="I682" s="2" t="s">
        <v>3641</v>
      </c>
      <c r="J682" s="2" t="s">
        <v>0</v>
      </c>
      <c r="K682" s="2" t="s">
        <v>0</v>
      </c>
      <c r="L682" s="2" t="s">
        <v>3489</v>
      </c>
      <c r="M682" s="2" t="s">
        <v>0</v>
      </c>
      <c r="N682" s="2" t="s">
        <v>12</v>
      </c>
      <c r="O682" s="2" t="s">
        <v>13</v>
      </c>
      <c r="P682" s="2" t="s">
        <v>14</v>
      </c>
      <c r="Q682" s="2" t="s">
        <v>52</v>
      </c>
      <c r="R682" s="2" t="s">
        <v>53</v>
      </c>
      <c r="S682" s="2" t="s">
        <v>17</v>
      </c>
      <c r="T682" s="2" t="s">
        <v>35</v>
      </c>
      <c r="U682" s="2" t="s">
        <v>0</v>
      </c>
    </row>
    <row r="683" spans="1:21">
      <c r="A683" s="2" t="s">
        <v>3673</v>
      </c>
      <c r="B683" s="2" t="s">
        <v>27</v>
      </c>
      <c r="C683" s="2" t="s">
        <v>880</v>
      </c>
      <c r="D683" s="2" t="s">
        <v>3674</v>
      </c>
      <c r="E683" s="2" t="s">
        <v>3675</v>
      </c>
      <c r="F683" s="2" t="s">
        <v>3638</v>
      </c>
      <c r="G683" s="2" t="s">
        <v>3639</v>
      </c>
      <c r="H683" s="2" t="s">
        <v>3640</v>
      </c>
      <c r="I683" s="2" t="s">
        <v>3641</v>
      </c>
      <c r="J683" s="2" t="s">
        <v>0</v>
      </c>
      <c r="K683" s="2" t="s">
        <v>0</v>
      </c>
      <c r="L683" s="2" t="s">
        <v>3489</v>
      </c>
      <c r="M683" s="2" t="s">
        <v>0</v>
      </c>
      <c r="N683" s="2" t="s">
        <v>12</v>
      </c>
      <c r="O683" s="2" t="s">
        <v>13</v>
      </c>
      <c r="P683" s="2" t="s">
        <v>14</v>
      </c>
      <c r="Q683" s="2" t="s">
        <v>52</v>
      </c>
      <c r="R683" s="2" t="s">
        <v>53</v>
      </c>
      <c r="S683" s="2" t="s">
        <v>17</v>
      </c>
      <c r="T683" s="2" t="s">
        <v>35</v>
      </c>
      <c r="U683" s="2" t="s">
        <v>0</v>
      </c>
    </row>
    <row r="684" spans="1:21">
      <c r="A684" s="2" t="s">
        <v>3676</v>
      </c>
      <c r="B684" s="2" t="s">
        <v>3</v>
      </c>
      <c r="C684" s="2" t="s">
        <v>3677</v>
      </c>
      <c r="D684" s="2" t="s">
        <v>3678</v>
      </c>
      <c r="E684" s="2" t="s">
        <v>3679</v>
      </c>
      <c r="F684" s="2" t="s">
        <v>3650</v>
      </c>
      <c r="G684" s="2" t="s">
        <v>3680</v>
      </c>
      <c r="H684" s="2" t="s">
        <v>3681</v>
      </c>
      <c r="I684" s="2" t="s">
        <v>3682</v>
      </c>
      <c r="J684" s="2" t="s">
        <v>0</v>
      </c>
      <c r="K684" s="2" t="s">
        <v>0</v>
      </c>
      <c r="L684" s="2" t="s">
        <v>3489</v>
      </c>
      <c r="M684" s="2" t="s">
        <v>0</v>
      </c>
      <c r="N684" s="2" t="s">
        <v>12</v>
      </c>
      <c r="O684" s="2" t="s">
        <v>13</v>
      </c>
      <c r="P684" s="2" t="s">
        <v>14</v>
      </c>
      <c r="Q684" s="2" t="s">
        <v>1416</v>
      </c>
      <c r="R684" s="2" t="s">
        <v>16</v>
      </c>
      <c r="S684" s="2" t="s">
        <v>17</v>
      </c>
      <c r="T684" s="2" t="s">
        <v>18</v>
      </c>
      <c r="U684" s="2" t="s">
        <v>3683</v>
      </c>
    </row>
    <row r="685" spans="1:21">
      <c r="A685" s="2" t="s">
        <v>3684</v>
      </c>
      <c r="B685" s="2" t="s">
        <v>27</v>
      </c>
      <c r="C685" s="2" t="s">
        <v>3685</v>
      </c>
      <c r="D685" s="2" t="s">
        <v>3686</v>
      </c>
      <c r="E685" s="2" t="s">
        <v>3687</v>
      </c>
      <c r="F685" s="2" t="s">
        <v>3638</v>
      </c>
      <c r="G685" s="2" t="s">
        <v>3639</v>
      </c>
      <c r="H685" s="2" t="s">
        <v>3681</v>
      </c>
      <c r="I685" s="2" t="s">
        <v>3682</v>
      </c>
      <c r="J685" s="2" t="s">
        <v>0</v>
      </c>
      <c r="K685" s="2" t="s">
        <v>0</v>
      </c>
      <c r="L685" s="2" t="s">
        <v>3489</v>
      </c>
      <c r="M685" s="2" t="s">
        <v>0</v>
      </c>
      <c r="N685" s="2" t="s">
        <v>12</v>
      </c>
      <c r="O685" s="2" t="s">
        <v>13</v>
      </c>
      <c r="P685" s="2" t="s">
        <v>14</v>
      </c>
      <c r="Q685" s="2" t="s">
        <v>15</v>
      </c>
      <c r="R685" s="2" t="s">
        <v>16</v>
      </c>
      <c r="S685" s="2" t="s">
        <v>17</v>
      </c>
      <c r="T685" s="2" t="s">
        <v>35</v>
      </c>
      <c r="U685" s="2" t="s">
        <v>3688</v>
      </c>
    </row>
    <row r="686" spans="1:21">
      <c r="A686" s="2" t="s">
        <v>3689</v>
      </c>
      <c r="B686" s="2" t="s">
        <v>3</v>
      </c>
      <c r="C686" s="2" t="s">
        <v>2404</v>
      </c>
      <c r="D686" s="2" t="s">
        <v>3690</v>
      </c>
      <c r="E686" s="2" t="s">
        <v>3691</v>
      </c>
      <c r="F686" s="2" t="s">
        <v>3692</v>
      </c>
      <c r="G686" s="2" t="s">
        <v>3693</v>
      </c>
      <c r="H686" s="2" t="s">
        <v>3694</v>
      </c>
      <c r="I686" s="2" t="s">
        <v>0</v>
      </c>
      <c r="J686" s="2" t="s">
        <v>0</v>
      </c>
      <c r="K686" s="2" t="s">
        <v>3695</v>
      </c>
      <c r="L686" s="2" t="s">
        <v>0</v>
      </c>
      <c r="M686" s="2" t="s">
        <v>0</v>
      </c>
      <c r="N686" s="2" t="s">
        <v>0</v>
      </c>
      <c r="O686" s="2" t="s">
        <v>82</v>
      </c>
      <c r="P686" s="2" t="s">
        <v>33</v>
      </c>
      <c r="Q686" s="2" t="s">
        <v>0</v>
      </c>
      <c r="R686" s="2" t="s">
        <v>34</v>
      </c>
      <c r="S686" s="2" t="s">
        <v>205</v>
      </c>
      <c r="T686" s="2" t="s">
        <v>18</v>
      </c>
      <c r="U686" s="2" t="s">
        <v>0</v>
      </c>
    </row>
    <row r="687" spans="1:21">
      <c r="A687" s="2" t="s">
        <v>3696</v>
      </c>
      <c r="B687" s="2" t="s">
        <v>46</v>
      </c>
      <c r="C687" s="2" t="s">
        <v>3697</v>
      </c>
      <c r="D687" s="2" t="s">
        <v>3698</v>
      </c>
      <c r="E687" s="2" t="s">
        <v>3699</v>
      </c>
      <c r="F687" s="2" t="s">
        <v>3692</v>
      </c>
      <c r="G687" s="2" t="s">
        <v>3693</v>
      </c>
      <c r="H687" s="2" t="s">
        <v>3694</v>
      </c>
      <c r="I687" s="2" t="s">
        <v>0</v>
      </c>
      <c r="J687" s="2" t="s">
        <v>0</v>
      </c>
      <c r="K687" s="2" t="s">
        <v>3695</v>
      </c>
      <c r="L687" s="2" t="s">
        <v>0</v>
      </c>
      <c r="M687" s="2" t="s">
        <v>0</v>
      </c>
      <c r="N687" s="2" t="s">
        <v>0</v>
      </c>
      <c r="O687" s="2" t="s">
        <v>82</v>
      </c>
      <c r="P687" s="2" t="s">
        <v>33</v>
      </c>
      <c r="Q687" s="2" t="s">
        <v>83</v>
      </c>
      <c r="R687" s="2" t="s">
        <v>34</v>
      </c>
      <c r="S687" s="2" t="s">
        <v>84</v>
      </c>
      <c r="T687" s="2" t="s">
        <v>18</v>
      </c>
      <c r="U687" s="2" t="s">
        <v>0</v>
      </c>
    </row>
    <row r="688" spans="1:21">
      <c r="A688" s="2" t="s">
        <v>3700</v>
      </c>
      <c r="B688" s="2" t="s">
        <v>46</v>
      </c>
      <c r="C688" s="2" t="s">
        <v>3701</v>
      </c>
      <c r="D688" s="2" t="s">
        <v>823</v>
      </c>
      <c r="E688" s="2" t="s">
        <v>3702</v>
      </c>
      <c r="F688" s="2" t="s">
        <v>220</v>
      </c>
      <c r="G688" s="2" t="s">
        <v>221</v>
      </c>
      <c r="H688" s="2" t="s">
        <v>3694</v>
      </c>
      <c r="I688" s="2" t="s">
        <v>0</v>
      </c>
      <c r="J688" s="2" t="s">
        <v>0</v>
      </c>
      <c r="K688" s="2" t="s">
        <v>3695</v>
      </c>
      <c r="L688" s="2" t="s">
        <v>0</v>
      </c>
      <c r="M688" s="2" t="s">
        <v>0</v>
      </c>
      <c r="N688" s="2" t="s">
        <v>0</v>
      </c>
      <c r="O688" s="2" t="s">
        <v>82</v>
      </c>
      <c r="P688" s="2" t="s">
        <v>33</v>
      </c>
      <c r="Q688" s="2" t="s">
        <v>83</v>
      </c>
      <c r="R688" s="2" t="s">
        <v>34</v>
      </c>
      <c r="S688" s="2" t="s">
        <v>84</v>
      </c>
      <c r="T688" s="2" t="s">
        <v>18</v>
      </c>
      <c r="U688" s="2" t="s">
        <v>3703</v>
      </c>
    </row>
    <row r="689" spans="1:21">
      <c r="A689" s="2" t="s">
        <v>3704</v>
      </c>
      <c r="B689" s="2" t="s">
        <v>3</v>
      </c>
      <c r="C689" s="2" t="s">
        <v>3705</v>
      </c>
      <c r="D689" s="2" t="s">
        <v>3706</v>
      </c>
      <c r="E689" s="2" t="s">
        <v>3707</v>
      </c>
      <c r="F689" s="2" t="s">
        <v>3692</v>
      </c>
      <c r="G689" s="2" t="s">
        <v>3693</v>
      </c>
      <c r="H689" s="2" t="s">
        <v>3694</v>
      </c>
      <c r="I689" s="2" t="s">
        <v>0</v>
      </c>
      <c r="J689" s="2" t="s">
        <v>0</v>
      </c>
      <c r="K689" s="2" t="s">
        <v>3695</v>
      </c>
      <c r="L689" s="2" t="s">
        <v>0</v>
      </c>
      <c r="M689" s="2" t="s">
        <v>0</v>
      </c>
      <c r="N689" s="2" t="s">
        <v>0</v>
      </c>
      <c r="O689" s="2" t="s">
        <v>82</v>
      </c>
      <c r="P689" s="2" t="s">
        <v>33</v>
      </c>
      <c r="Q689" s="2" t="s">
        <v>83</v>
      </c>
      <c r="R689" s="2" t="s">
        <v>34</v>
      </c>
      <c r="S689" s="2" t="s">
        <v>84</v>
      </c>
      <c r="T689" s="2" t="s">
        <v>18</v>
      </c>
      <c r="U689" s="2" t="s">
        <v>0</v>
      </c>
    </row>
    <row r="690" spans="1:21">
      <c r="A690" s="2" t="s">
        <v>3708</v>
      </c>
      <c r="B690" s="2" t="s">
        <v>46</v>
      </c>
      <c r="C690" s="2" t="s">
        <v>3709</v>
      </c>
      <c r="D690" s="2" t="s">
        <v>3710</v>
      </c>
      <c r="E690" s="2" t="s">
        <v>3711</v>
      </c>
      <c r="F690" s="2" t="s">
        <v>418</v>
      </c>
      <c r="G690" s="2" t="s">
        <v>419</v>
      </c>
      <c r="H690" s="2" t="s">
        <v>3694</v>
      </c>
      <c r="I690" s="2" t="s">
        <v>0</v>
      </c>
      <c r="J690" s="2" t="s">
        <v>0</v>
      </c>
      <c r="K690" s="2" t="s">
        <v>3695</v>
      </c>
      <c r="L690" s="2" t="s">
        <v>0</v>
      </c>
      <c r="M690" s="2" t="s">
        <v>0</v>
      </c>
      <c r="N690" s="2" t="s">
        <v>0</v>
      </c>
      <c r="O690" s="2" t="s">
        <v>82</v>
      </c>
      <c r="P690" s="2" t="s">
        <v>33</v>
      </c>
      <c r="Q690" s="2" t="s">
        <v>83</v>
      </c>
      <c r="R690" s="2" t="s">
        <v>34</v>
      </c>
      <c r="S690" s="2" t="s">
        <v>84</v>
      </c>
      <c r="T690" s="2" t="s">
        <v>18</v>
      </c>
      <c r="U690" s="2" t="s">
        <v>3712</v>
      </c>
    </row>
    <row r="691" spans="1:21">
      <c r="A691" s="2" t="s">
        <v>3713</v>
      </c>
      <c r="B691" s="2" t="s">
        <v>3</v>
      </c>
      <c r="C691" s="2" t="s">
        <v>3714</v>
      </c>
      <c r="D691" s="2" t="s">
        <v>3715</v>
      </c>
      <c r="E691" s="2" t="s">
        <v>3716</v>
      </c>
      <c r="F691" s="2" t="s">
        <v>3692</v>
      </c>
      <c r="G691" s="2" t="s">
        <v>3693</v>
      </c>
      <c r="H691" s="2" t="s">
        <v>3694</v>
      </c>
      <c r="I691" s="2" t="s">
        <v>0</v>
      </c>
      <c r="J691" s="2" t="s">
        <v>0</v>
      </c>
      <c r="K691" s="2" t="s">
        <v>3695</v>
      </c>
      <c r="L691" s="2" t="s">
        <v>0</v>
      </c>
      <c r="M691" s="2" t="s">
        <v>0</v>
      </c>
      <c r="N691" s="2" t="s">
        <v>0</v>
      </c>
      <c r="O691" s="2" t="s">
        <v>82</v>
      </c>
      <c r="P691" s="2" t="s">
        <v>33</v>
      </c>
      <c r="Q691" s="2" t="s">
        <v>83</v>
      </c>
      <c r="R691" s="2" t="s">
        <v>34</v>
      </c>
      <c r="S691" s="2" t="s">
        <v>84</v>
      </c>
      <c r="T691" s="2" t="s">
        <v>18</v>
      </c>
      <c r="U691" s="2" t="s">
        <v>0</v>
      </c>
    </row>
    <row r="692" spans="1:21">
      <c r="A692" s="2" t="s">
        <v>3717</v>
      </c>
      <c r="B692" s="2" t="s">
        <v>3</v>
      </c>
      <c r="C692" s="2" t="s">
        <v>3718</v>
      </c>
      <c r="D692" s="2" t="s">
        <v>3719</v>
      </c>
      <c r="E692" s="2" t="s">
        <v>3720</v>
      </c>
      <c r="F692" s="2" t="s">
        <v>506</v>
      </c>
      <c r="G692" s="2" t="s">
        <v>3721</v>
      </c>
      <c r="H692" s="2" t="s">
        <v>3694</v>
      </c>
      <c r="I692" s="2" t="s">
        <v>0</v>
      </c>
      <c r="J692" s="2" t="s">
        <v>0</v>
      </c>
      <c r="K692" s="2" t="s">
        <v>3695</v>
      </c>
      <c r="L692" s="2" t="s">
        <v>0</v>
      </c>
      <c r="M692" s="2" t="s">
        <v>0</v>
      </c>
      <c r="N692" s="2" t="s">
        <v>0</v>
      </c>
      <c r="O692" s="2" t="s">
        <v>82</v>
      </c>
      <c r="P692" s="2" t="s">
        <v>33</v>
      </c>
      <c r="Q692" s="2" t="s">
        <v>83</v>
      </c>
      <c r="R692" s="2" t="s">
        <v>34</v>
      </c>
      <c r="S692" s="2" t="s">
        <v>84</v>
      </c>
      <c r="T692" s="2" t="s">
        <v>18</v>
      </c>
      <c r="U692" s="2" t="s">
        <v>3722</v>
      </c>
    </row>
    <row r="693" spans="1:21">
      <c r="A693" s="2" t="s">
        <v>3723</v>
      </c>
      <c r="B693" s="2" t="s">
        <v>3</v>
      </c>
      <c r="C693" s="2" t="s">
        <v>3724</v>
      </c>
      <c r="D693" s="2" t="s">
        <v>1736</v>
      </c>
      <c r="E693" s="2" t="s">
        <v>3725</v>
      </c>
      <c r="F693" s="2" t="s">
        <v>3726</v>
      </c>
      <c r="G693" s="2" t="s">
        <v>3727</v>
      </c>
      <c r="H693" s="2" t="s">
        <v>3694</v>
      </c>
      <c r="I693" s="2" t="s">
        <v>0</v>
      </c>
      <c r="J693" s="2" t="s">
        <v>0</v>
      </c>
      <c r="K693" s="2" t="s">
        <v>3695</v>
      </c>
      <c r="L693" s="2" t="s">
        <v>0</v>
      </c>
      <c r="M693" s="2" t="s">
        <v>0</v>
      </c>
      <c r="N693" s="2" t="s">
        <v>0</v>
      </c>
      <c r="O693" s="2" t="s">
        <v>82</v>
      </c>
      <c r="P693" s="2" t="s">
        <v>33</v>
      </c>
      <c r="Q693" s="2" t="s">
        <v>214</v>
      </c>
      <c r="R693" s="2" t="s">
        <v>34</v>
      </c>
      <c r="S693" s="2" t="s">
        <v>84</v>
      </c>
      <c r="T693" s="2" t="s">
        <v>18</v>
      </c>
      <c r="U693" s="2" t="s">
        <v>3728</v>
      </c>
    </row>
    <row r="694" spans="1:21">
      <c r="A694" s="2" t="s">
        <v>3729</v>
      </c>
      <c r="B694" s="2" t="s">
        <v>46</v>
      </c>
      <c r="C694" s="2" t="s">
        <v>3730</v>
      </c>
      <c r="D694" s="2" t="s">
        <v>3731</v>
      </c>
      <c r="E694" s="2" t="s">
        <v>3732</v>
      </c>
      <c r="F694" s="2" t="s">
        <v>203</v>
      </c>
      <c r="G694" s="2" t="s">
        <v>204</v>
      </c>
      <c r="H694" s="2" t="s">
        <v>3694</v>
      </c>
      <c r="I694" s="2" t="s">
        <v>0</v>
      </c>
      <c r="J694" s="2" t="s">
        <v>0</v>
      </c>
      <c r="K694" s="2" t="s">
        <v>3695</v>
      </c>
      <c r="L694" s="2" t="s">
        <v>0</v>
      </c>
      <c r="M694" s="2" t="s">
        <v>0</v>
      </c>
      <c r="N694" s="2" t="s">
        <v>0</v>
      </c>
      <c r="O694" s="2" t="s">
        <v>82</v>
      </c>
      <c r="P694" s="2" t="s">
        <v>33</v>
      </c>
      <c r="Q694" s="2" t="s">
        <v>214</v>
      </c>
      <c r="R694" s="2" t="s">
        <v>34</v>
      </c>
      <c r="S694" s="2" t="s">
        <v>84</v>
      </c>
      <c r="T694" s="2" t="s">
        <v>18</v>
      </c>
      <c r="U694" s="2" t="s">
        <v>0</v>
      </c>
    </row>
    <row r="695" spans="1:21">
      <c r="A695" s="2" t="s">
        <v>3733</v>
      </c>
      <c r="B695" s="2" t="s">
        <v>3</v>
      </c>
      <c r="C695" s="2" t="s">
        <v>3734</v>
      </c>
      <c r="D695" s="2" t="s">
        <v>3735</v>
      </c>
      <c r="E695" s="2" t="s">
        <v>3736</v>
      </c>
      <c r="F695" s="2" t="s">
        <v>3692</v>
      </c>
      <c r="G695" s="2" t="s">
        <v>3693</v>
      </c>
      <c r="H695" s="2" t="s">
        <v>3694</v>
      </c>
      <c r="I695" s="2" t="s">
        <v>0</v>
      </c>
      <c r="J695" s="2" t="s">
        <v>0</v>
      </c>
      <c r="K695" s="2" t="s">
        <v>3695</v>
      </c>
      <c r="L695" s="2" t="s">
        <v>0</v>
      </c>
      <c r="M695" s="2" t="s">
        <v>0</v>
      </c>
      <c r="N695" s="2" t="s">
        <v>0</v>
      </c>
      <c r="O695" s="2" t="s">
        <v>82</v>
      </c>
      <c r="P695" s="2" t="s">
        <v>33</v>
      </c>
      <c r="Q695" s="2" t="s">
        <v>214</v>
      </c>
      <c r="R695" s="2" t="s">
        <v>34</v>
      </c>
      <c r="S695" s="2" t="s">
        <v>84</v>
      </c>
      <c r="T695" s="2" t="s">
        <v>18</v>
      </c>
      <c r="U695" s="2" t="s">
        <v>0</v>
      </c>
    </row>
    <row r="696" spans="1:21">
      <c r="A696" s="2" t="s">
        <v>3737</v>
      </c>
      <c r="B696" s="2" t="s">
        <v>27</v>
      </c>
      <c r="C696" s="2" t="s">
        <v>3738</v>
      </c>
      <c r="D696" s="2" t="s">
        <v>3739</v>
      </c>
      <c r="E696" s="2" t="s">
        <v>3740</v>
      </c>
      <c r="F696" s="2" t="s">
        <v>3726</v>
      </c>
      <c r="G696" s="2" t="s">
        <v>3727</v>
      </c>
      <c r="H696" s="2" t="s">
        <v>3694</v>
      </c>
      <c r="I696" s="2" t="s">
        <v>0</v>
      </c>
      <c r="J696" s="2" t="s">
        <v>0</v>
      </c>
      <c r="K696" s="2" t="s">
        <v>3695</v>
      </c>
      <c r="L696" s="2" t="s">
        <v>0</v>
      </c>
      <c r="M696" s="2" t="s">
        <v>0</v>
      </c>
      <c r="N696" s="2" t="s">
        <v>0</v>
      </c>
      <c r="O696" s="2" t="s">
        <v>82</v>
      </c>
      <c r="P696" s="2" t="s">
        <v>33</v>
      </c>
      <c r="Q696" s="2" t="s">
        <v>214</v>
      </c>
      <c r="R696" s="2" t="s">
        <v>34</v>
      </c>
      <c r="S696" s="2" t="s">
        <v>84</v>
      </c>
      <c r="T696" s="2" t="s">
        <v>35</v>
      </c>
      <c r="U696" s="2" t="s">
        <v>3741</v>
      </c>
    </row>
    <row r="697" spans="1:21">
      <c r="A697" s="2" t="s">
        <v>3742</v>
      </c>
      <c r="B697" s="2" t="s">
        <v>3</v>
      </c>
      <c r="C697" s="2" t="s">
        <v>3743</v>
      </c>
      <c r="D697" s="2" t="s">
        <v>3744</v>
      </c>
      <c r="E697" s="2" t="s">
        <v>3745</v>
      </c>
      <c r="F697" s="2" t="s">
        <v>3692</v>
      </c>
      <c r="G697" s="2" t="s">
        <v>3693</v>
      </c>
      <c r="H697" s="2" t="s">
        <v>3694</v>
      </c>
      <c r="I697" s="2" t="s">
        <v>0</v>
      </c>
      <c r="J697" s="2" t="s">
        <v>0</v>
      </c>
      <c r="K697" s="2" t="s">
        <v>3695</v>
      </c>
      <c r="L697" s="2" t="s">
        <v>0</v>
      </c>
      <c r="M697" s="2" t="s">
        <v>0</v>
      </c>
      <c r="N697" s="2" t="s">
        <v>0</v>
      </c>
      <c r="O697" s="2" t="s">
        <v>82</v>
      </c>
      <c r="P697" s="2" t="s">
        <v>33</v>
      </c>
      <c r="Q697" s="2" t="s">
        <v>214</v>
      </c>
      <c r="R697" s="2" t="s">
        <v>34</v>
      </c>
      <c r="S697" s="2" t="s">
        <v>84</v>
      </c>
      <c r="T697" s="2" t="s">
        <v>18</v>
      </c>
      <c r="U697" s="2" t="s">
        <v>0</v>
      </c>
    </row>
    <row r="698" spans="1:21">
      <c r="A698" s="2" t="s">
        <v>3746</v>
      </c>
      <c r="B698" s="2" t="s">
        <v>27</v>
      </c>
      <c r="C698" s="2" t="s">
        <v>3747</v>
      </c>
      <c r="D698" s="2" t="s">
        <v>3748</v>
      </c>
      <c r="E698" s="2" t="s">
        <v>3749</v>
      </c>
      <c r="F698" s="2" t="s">
        <v>3750</v>
      </c>
      <c r="G698" s="2" t="s">
        <v>3750</v>
      </c>
      <c r="H698" s="2" t="s">
        <v>3694</v>
      </c>
      <c r="I698" s="2" t="s">
        <v>0</v>
      </c>
      <c r="J698" s="2" t="s">
        <v>0</v>
      </c>
      <c r="K698" s="2" t="s">
        <v>3695</v>
      </c>
      <c r="L698" s="2" t="s">
        <v>0</v>
      </c>
      <c r="M698" s="2" t="s">
        <v>0</v>
      </c>
      <c r="N698" s="2" t="s">
        <v>0</v>
      </c>
      <c r="O698" s="2" t="s">
        <v>82</v>
      </c>
      <c r="P698" s="2" t="s">
        <v>33</v>
      </c>
      <c r="Q698" s="2" t="s">
        <v>214</v>
      </c>
      <c r="R698" s="2" t="s">
        <v>34</v>
      </c>
      <c r="S698" s="2" t="s">
        <v>84</v>
      </c>
      <c r="T698" s="2" t="s">
        <v>35</v>
      </c>
      <c r="U698" s="2" t="s">
        <v>0</v>
      </c>
    </row>
    <row r="699" spans="1:21">
      <c r="A699" s="2" t="s">
        <v>3751</v>
      </c>
      <c r="B699" s="2" t="s">
        <v>3</v>
      </c>
      <c r="C699" s="2" t="s">
        <v>188</v>
      </c>
      <c r="D699" s="2" t="s">
        <v>3752</v>
      </c>
      <c r="E699" s="2" t="s">
        <v>3753</v>
      </c>
      <c r="F699" s="2" t="s">
        <v>3726</v>
      </c>
      <c r="G699" s="2" t="s">
        <v>3727</v>
      </c>
      <c r="H699" s="2" t="s">
        <v>3694</v>
      </c>
      <c r="I699" s="2" t="s">
        <v>0</v>
      </c>
      <c r="J699" s="2" t="s">
        <v>0</v>
      </c>
      <c r="K699" s="2" t="s">
        <v>3695</v>
      </c>
      <c r="L699" s="2" t="s">
        <v>0</v>
      </c>
      <c r="M699" s="2" t="s">
        <v>0</v>
      </c>
      <c r="N699" s="2" t="s">
        <v>0</v>
      </c>
      <c r="O699" s="2" t="s">
        <v>82</v>
      </c>
      <c r="P699" s="2" t="s">
        <v>33</v>
      </c>
      <c r="Q699" s="2" t="s">
        <v>214</v>
      </c>
      <c r="R699" s="2" t="s">
        <v>34</v>
      </c>
      <c r="S699" s="2" t="s">
        <v>84</v>
      </c>
      <c r="T699" s="2" t="s">
        <v>18</v>
      </c>
      <c r="U699" s="2" t="s">
        <v>0</v>
      </c>
    </row>
    <row r="700" spans="1:21">
      <c r="A700" s="2" t="s">
        <v>3754</v>
      </c>
      <c r="B700" s="2" t="s">
        <v>27</v>
      </c>
      <c r="C700" s="2" t="s">
        <v>3755</v>
      </c>
      <c r="D700" s="2" t="s">
        <v>3756</v>
      </c>
      <c r="E700" s="2" t="s">
        <v>3757</v>
      </c>
      <c r="F700" s="2" t="s">
        <v>3750</v>
      </c>
      <c r="G700" s="2" t="s">
        <v>3750</v>
      </c>
      <c r="H700" s="2" t="s">
        <v>3694</v>
      </c>
      <c r="I700" s="2" t="s">
        <v>0</v>
      </c>
      <c r="J700" s="2" t="s">
        <v>0</v>
      </c>
      <c r="K700" s="2" t="s">
        <v>3695</v>
      </c>
      <c r="L700" s="2" t="s">
        <v>0</v>
      </c>
      <c r="M700" s="2" t="s">
        <v>0</v>
      </c>
      <c r="N700" s="2" t="s">
        <v>0</v>
      </c>
      <c r="O700" s="2" t="s">
        <v>82</v>
      </c>
      <c r="P700" s="2" t="s">
        <v>33</v>
      </c>
      <c r="Q700" s="2" t="s">
        <v>214</v>
      </c>
      <c r="R700" s="2" t="s">
        <v>34</v>
      </c>
      <c r="S700" s="2" t="s">
        <v>84</v>
      </c>
      <c r="T700" s="2" t="s">
        <v>35</v>
      </c>
      <c r="U700" s="2" t="s">
        <v>3758</v>
      </c>
    </row>
    <row r="701" spans="1:21">
      <c r="A701" s="2" t="s">
        <v>3759</v>
      </c>
      <c r="B701" s="2" t="s">
        <v>3</v>
      </c>
      <c r="C701" s="2" t="s">
        <v>3760</v>
      </c>
      <c r="D701" s="2" t="s">
        <v>3761</v>
      </c>
      <c r="E701" s="2" t="s">
        <v>3762</v>
      </c>
      <c r="F701" s="2" t="s">
        <v>3692</v>
      </c>
      <c r="G701" s="2" t="s">
        <v>3693</v>
      </c>
      <c r="H701" s="2" t="s">
        <v>3694</v>
      </c>
      <c r="I701" s="2" t="s">
        <v>0</v>
      </c>
      <c r="J701" s="2" t="s">
        <v>0</v>
      </c>
      <c r="K701" s="2" t="s">
        <v>3695</v>
      </c>
      <c r="L701" s="2" t="s">
        <v>0</v>
      </c>
      <c r="M701" s="2" t="s">
        <v>0</v>
      </c>
      <c r="N701" s="2" t="s">
        <v>0</v>
      </c>
      <c r="O701" s="2" t="s">
        <v>82</v>
      </c>
      <c r="P701" s="2" t="s">
        <v>33</v>
      </c>
      <c r="Q701" s="2" t="s">
        <v>214</v>
      </c>
      <c r="R701" s="2" t="s">
        <v>34</v>
      </c>
      <c r="S701" s="2" t="s">
        <v>84</v>
      </c>
      <c r="T701" s="2" t="s">
        <v>18</v>
      </c>
      <c r="U701" s="2" t="s">
        <v>0</v>
      </c>
    </row>
    <row r="702" spans="1:21">
      <c r="A702" s="2" t="s">
        <v>3763</v>
      </c>
      <c r="B702" s="2" t="s">
        <v>27</v>
      </c>
      <c r="C702" s="2" t="s">
        <v>3764</v>
      </c>
      <c r="D702" s="2" t="s">
        <v>3765</v>
      </c>
      <c r="E702" s="2" t="s">
        <v>3766</v>
      </c>
      <c r="F702" s="2" t="s">
        <v>3726</v>
      </c>
      <c r="G702" s="2" t="s">
        <v>3727</v>
      </c>
      <c r="H702" s="2" t="s">
        <v>3694</v>
      </c>
      <c r="I702" s="2" t="s">
        <v>0</v>
      </c>
      <c r="J702" s="2" t="s">
        <v>0</v>
      </c>
      <c r="K702" s="2" t="s">
        <v>3695</v>
      </c>
      <c r="L702" s="2" t="s">
        <v>0</v>
      </c>
      <c r="M702" s="2" t="s">
        <v>0</v>
      </c>
      <c r="N702" s="2" t="s">
        <v>0</v>
      </c>
      <c r="O702" s="2" t="s">
        <v>82</v>
      </c>
      <c r="P702" s="2" t="s">
        <v>33</v>
      </c>
      <c r="Q702" s="2" t="s">
        <v>214</v>
      </c>
      <c r="R702" s="2" t="s">
        <v>34</v>
      </c>
      <c r="S702" s="2" t="s">
        <v>84</v>
      </c>
      <c r="T702" s="2" t="s">
        <v>35</v>
      </c>
      <c r="U702" s="2" t="s">
        <v>3767</v>
      </c>
    </row>
    <row r="703" spans="1:21">
      <c r="A703" s="2" t="s">
        <v>3768</v>
      </c>
      <c r="B703" s="2" t="s">
        <v>46</v>
      </c>
      <c r="C703" s="2" t="s">
        <v>3769</v>
      </c>
      <c r="D703" s="2" t="s">
        <v>3770</v>
      </c>
      <c r="E703" s="2" t="s">
        <v>3771</v>
      </c>
      <c r="F703" s="2" t="s">
        <v>3726</v>
      </c>
      <c r="G703" s="2" t="s">
        <v>3727</v>
      </c>
      <c r="H703" s="2" t="s">
        <v>3694</v>
      </c>
      <c r="I703" s="2" t="s">
        <v>0</v>
      </c>
      <c r="J703" s="2" t="s">
        <v>0</v>
      </c>
      <c r="K703" s="2" t="s">
        <v>3695</v>
      </c>
      <c r="L703" s="2" t="s">
        <v>0</v>
      </c>
      <c r="M703" s="2" t="s">
        <v>0</v>
      </c>
      <c r="N703" s="2" t="s">
        <v>0</v>
      </c>
      <c r="O703" s="2" t="s">
        <v>82</v>
      </c>
      <c r="P703" s="2" t="s">
        <v>33</v>
      </c>
      <c r="Q703" s="2" t="s">
        <v>214</v>
      </c>
      <c r="R703" s="2" t="s">
        <v>34</v>
      </c>
      <c r="S703" s="2" t="s">
        <v>84</v>
      </c>
      <c r="T703" s="2" t="s">
        <v>18</v>
      </c>
      <c r="U703" s="2" t="s">
        <v>3772</v>
      </c>
    </row>
    <row r="704" spans="1:21">
      <c r="A704" s="2" t="s">
        <v>3773</v>
      </c>
      <c r="B704" s="2" t="s">
        <v>3</v>
      </c>
      <c r="C704" s="2" t="s">
        <v>3774</v>
      </c>
      <c r="D704" s="2" t="s">
        <v>3775</v>
      </c>
      <c r="E704" s="2" t="s">
        <v>3776</v>
      </c>
      <c r="F704" s="2" t="s">
        <v>3692</v>
      </c>
      <c r="G704" s="2" t="s">
        <v>3693</v>
      </c>
      <c r="H704" s="2" t="s">
        <v>3694</v>
      </c>
      <c r="I704" s="2" t="s">
        <v>0</v>
      </c>
      <c r="J704" s="2" t="s">
        <v>0</v>
      </c>
      <c r="K704" s="2" t="s">
        <v>3695</v>
      </c>
      <c r="L704" s="2" t="s">
        <v>0</v>
      </c>
      <c r="M704" s="2" t="s">
        <v>0</v>
      </c>
      <c r="N704" s="2" t="s">
        <v>0</v>
      </c>
      <c r="O704" s="2" t="s">
        <v>82</v>
      </c>
      <c r="P704" s="2" t="s">
        <v>33</v>
      </c>
      <c r="Q704" s="2" t="s">
        <v>214</v>
      </c>
      <c r="R704" s="2" t="s">
        <v>34</v>
      </c>
      <c r="S704" s="2" t="s">
        <v>84</v>
      </c>
      <c r="T704" s="2" t="s">
        <v>18</v>
      </c>
      <c r="U704" s="2" t="s">
        <v>0</v>
      </c>
    </row>
    <row r="705" spans="1:21">
      <c r="A705" s="2" t="s">
        <v>3777</v>
      </c>
      <c r="B705" s="2" t="s">
        <v>3</v>
      </c>
      <c r="C705" s="2" t="s">
        <v>3778</v>
      </c>
      <c r="D705" s="2" t="s">
        <v>3779</v>
      </c>
      <c r="E705" s="2" t="s">
        <v>3780</v>
      </c>
      <c r="F705" s="2" t="s">
        <v>3692</v>
      </c>
      <c r="G705" s="2" t="s">
        <v>3693</v>
      </c>
      <c r="H705" s="2" t="s">
        <v>3694</v>
      </c>
      <c r="I705" s="2" t="s">
        <v>0</v>
      </c>
      <c r="J705" s="2" t="s">
        <v>0</v>
      </c>
      <c r="K705" s="2" t="s">
        <v>3695</v>
      </c>
      <c r="L705" s="2" t="s">
        <v>0</v>
      </c>
      <c r="M705" s="2" t="s">
        <v>0</v>
      </c>
      <c r="N705" s="2" t="s">
        <v>0</v>
      </c>
      <c r="O705" s="2" t="s">
        <v>82</v>
      </c>
      <c r="P705" s="2" t="s">
        <v>33</v>
      </c>
      <c r="Q705" s="2" t="s">
        <v>214</v>
      </c>
      <c r="R705" s="2" t="s">
        <v>34</v>
      </c>
      <c r="S705" s="2" t="s">
        <v>84</v>
      </c>
      <c r="T705" s="2" t="s">
        <v>18</v>
      </c>
      <c r="U705" s="2" t="s">
        <v>0</v>
      </c>
    </row>
    <row r="706" spans="1:21">
      <c r="A706" s="2" t="s">
        <v>3781</v>
      </c>
      <c r="B706" s="2" t="s">
        <v>27</v>
      </c>
      <c r="C706" s="2" t="s">
        <v>3782</v>
      </c>
      <c r="D706" s="2" t="s">
        <v>3783</v>
      </c>
      <c r="E706" s="2" t="s">
        <v>3784</v>
      </c>
      <c r="F706" s="2" t="s">
        <v>3726</v>
      </c>
      <c r="G706" s="2" t="s">
        <v>3727</v>
      </c>
      <c r="H706" s="2" t="s">
        <v>3694</v>
      </c>
      <c r="I706" s="2" t="s">
        <v>0</v>
      </c>
      <c r="J706" s="2" t="s">
        <v>0</v>
      </c>
      <c r="K706" s="2" t="s">
        <v>3695</v>
      </c>
      <c r="L706" s="2" t="s">
        <v>0</v>
      </c>
      <c r="M706" s="2" t="s">
        <v>0</v>
      </c>
      <c r="N706" s="2" t="s">
        <v>0</v>
      </c>
      <c r="O706" s="2" t="s">
        <v>82</v>
      </c>
      <c r="P706" s="2" t="s">
        <v>33</v>
      </c>
      <c r="Q706" s="2" t="s">
        <v>214</v>
      </c>
      <c r="R706" s="2" t="s">
        <v>34</v>
      </c>
      <c r="S706" s="2" t="s">
        <v>84</v>
      </c>
      <c r="T706" s="2" t="s">
        <v>35</v>
      </c>
      <c r="U706" s="2" t="s">
        <v>3785</v>
      </c>
    </row>
    <row r="707" spans="1:21">
      <c r="A707" s="2" t="s">
        <v>3786</v>
      </c>
      <c r="B707" s="2" t="s">
        <v>3</v>
      </c>
      <c r="C707" s="2" t="s">
        <v>1021</v>
      </c>
      <c r="D707" s="2" t="s">
        <v>3787</v>
      </c>
      <c r="E707" s="2" t="s">
        <v>3788</v>
      </c>
      <c r="F707" s="2" t="s">
        <v>506</v>
      </c>
      <c r="G707" s="2" t="s">
        <v>3721</v>
      </c>
      <c r="H707" s="2" t="s">
        <v>3694</v>
      </c>
      <c r="I707" s="2" t="s">
        <v>0</v>
      </c>
      <c r="J707" s="2" t="s">
        <v>0</v>
      </c>
      <c r="K707" s="2" t="s">
        <v>3695</v>
      </c>
      <c r="L707" s="2" t="s">
        <v>0</v>
      </c>
      <c r="M707" s="2" t="s">
        <v>0</v>
      </c>
      <c r="N707" s="2" t="s">
        <v>0</v>
      </c>
      <c r="O707" s="2" t="s">
        <v>82</v>
      </c>
      <c r="P707" s="2" t="s">
        <v>33</v>
      </c>
      <c r="Q707" s="2" t="s">
        <v>214</v>
      </c>
      <c r="R707" s="2" t="s">
        <v>34</v>
      </c>
      <c r="S707" s="2" t="s">
        <v>84</v>
      </c>
      <c r="T707" s="2" t="s">
        <v>18</v>
      </c>
      <c r="U707" s="2" t="s">
        <v>0</v>
      </c>
    </row>
    <row r="708" spans="1:21">
      <c r="A708" s="2" t="s">
        <v>3789</v>
      </c>
      <c r="B708" s="2" t="s">
        <v>3</v>
      </c>
      <c r="C708" s="2" t="s">
        <v>524</v>
      </c>
      <c r="D708" s="2" t="s">
        <v>3790</v>
      </c>
      <c r="E708" s="2" t="s">
        <v>3791</v>
      </c>
      <c r="F708" s="2" t="s">
        <v>506</v>
      </c>
      <c r="G708" s="2" t="s">
        <v>3721</v>
      </c>
      <c r="H708" s="2" t="s">
        <v>3694</v>
      </c>
      <c r="I708" s="2" t="s">
        <v>0</v>
      </c>
      <c r="J708" s="2" t="s">
        <v>0</v>
      </c>
      <c r="K708" s="2" t="s">
        <v>3695</v>
      </c>
      <c r="L708" s="2" t="s">
        <v>0</v>
      </c>
      <c r="M708" s="2" t="s">
        <v>0</v>
      </c>
      <c r="N708" s="2" t="s">
        <v>0</v>
      </c>
      <c r="O708" s="2" t="s">
        <v>82</v>
      </c>
      <c r="P708" s="2" t="s">
        <v>33</v>
      </c>
      <c r="Q708" s="2" t="s">
        <v>214</v>
      </c>
      <c r="R708" s="2" t="s">
        <v>34</v>
      </c>
      <c r="S708" s="2" t="s">
        <v>84</v>
      </c>
      <c r="T708" s="2" t="s">
        <v>18</v>
      </c>
      <c r="U708" s="2" t="s">
        <v>0</v>
      </c>
    </row>
    <row r="709" spans="1:21">
      <c r="A709" s="2" t="s">
        <v>3792</v>
      </c>
      <c r="B709" s="2" t="s">
        <v>27</v>
      </c>
      <c r="C709" s="2" t="s">
        <v>41</v>
      </c>
      <c r="D709" s="2" t="s">
        <v>3793</v>
      </c>
      <c r="E709" s="2" t="s">
        <v>3794</v>
      </c>
      <c r="F709" s="2" t="s">
        <v>3750</v>
      </c>
      <c r="G709" s="2" t="s">
        <v>3750</v>
      </c>
      <c r="H709" s="2" t="s">
        <v>3694</v>
      </c>
      <c r="I709" s="2" t="s">
        <v>0</v>
      </c>
      <c r="J709" s="2" t="s">
        <v>0</v>
      </c>
      <c r="K709" s="2" t="s">
        <v>3695</v>
      </c>
      <c r="L709" s="2" t="s">
        <v>0</v>
      </c>
      <c r="M709" s="2" t="s">
        <v>0</v>
      </c>
      <c r="N709" s="2" t="s">
        <v>0</v>
      </c>
      <c r="O709" s="2" t="s">
        <v>82</v>
      </c>
      <c r="P709" s="2" t="s">
        <v>33</v>
      </c>
      <c r="Q709" s="2" t="s">
        <v>214</v>
      </c>
      <c r="R709" s="2" t="s">
        <v>34</v>
      </c>
      <c r="S709" s="2" t="s">
        <v>84</v>
      </c>
      <c r="T709" s="2" t="s">
        <v>35</v>
      </c>
      <c r="U709" s="2" t="s">
        <v>0</v>
      </c>
    </row>
    <row r="710" spans="1:21">
      <c r="A710" s="2" t="s">
        <v>3795</v>
      </c>
      <c r="B710" s="2" t="s">
        <v>3</v>
      </c>
      <c r="C710" s="2" t="s">
        <v>3796</v>
      </c>
      <c r="D710" s="2" t="s">
        <v>3797</v>
      </c>
      <c r="E710" s="2" t="s">
        <v>3798</v>
      </c>
      <c r="F710" s="2" t="s">
        <v>3799</v>
      </c>
      <c r="G710" s="2" t="s">
        <v>3800</v>
      </c>
      <c r="H710" s="2" t="s">
        <v>3694</v>
      </c>
      <c r="I710" s="2" t="s">
        <v>0</v>
      </c>
      <c r="J710" s="2" t="s">
        <v>0</v>
      </c>
      <c r="K710" s="2" t="s">
        <v>3695</v>
      </c>
      <c r="L710" s="2" t="s">
        <v>0</v>
      </c>
      <c r="M710" s="2" t="s">
        <v>0</v>
      </c>
      <c r="N710" s="2" t="s">
        <v>0</v>
      </c>
      <c r="O710" s="2" t="s">
        <v>82</v>
      </c>
      <c r="P710" s="2" t="s">
        <v>33</v>
      </c>
      <c r="Q710" s="2" t="s">
        <v>214</v>
      </c>
      <c r="R710" s="2" t="s">
        <v>34</v>
      </c>
      <c r="S710" s="2" t="s">
        <v>84</v>
      </c>
      <c r="T710" s="2" t="s">
        <v>18</v>
      </c>
      <c r="U710" s="2" t="s">
        <v>0</v>
      </c>
    </row>
    <row r="711" spans="1:21">
      <c r="A711" s="2" t="s">
        <v>3801</v>
      </c>
      <c r="B711" s="2" t="s">
        <v>3</v>
      </c>
      <c r="C711" s="2" t="s">
        <v>3802</v>
      </c>
      <c r="D711" s="2" t="s">
        <v>3803</v>
      </c>
      <c r="E711" s="2" t="s">
        <v>3804</v>
      </c>
      <c r="F711" s="2" t="s">
        <v>3692</v>
      </c>
      <c r="G711" s="2" t="s">
        <v>3693</v>
      </c>
      <c r="H711" s="2" t="s">
        <v>3694</v>
      </c>
      <c r="I711" s="2" t="s">
        <v>0</v>
      </c>
      <c r="J711" s="2" t="s">
        <v>0</v>
      </c>
      <c r="K711" s="2" t="s">
        <v>3695</v>
      </c>
      <c r="L711" s="2" t="s">
        <v>0</v>
      </c>
      <c r="M711" s="2" t="s">
        <v>0</v>
      </c>
      <c r="N711" s="2" t="s">
        <v>0</v>
      </c>
      <c r="O711" s="2" t="s">
        <v>82</v>
      </c>
      <c r="P711" s="2" t="s">
        <v>33</v>
      </c>
      <c r="Q711" s="2" t="s">
        <v>214</v>
      </c>
      <c r="R711" s="2" t="s">
        <v>34</v>
      </c>
      <c r="S711" s="2" t="s">
        <v>17</v>
      </c>
      <c r="T711" s="2" t="s">
        <v>18</v>
      </c>
      <c r="U711" s="2" t="s">
        <v>0</v>
      </c>
    </row>
    <row r="712" spans="1:21">
      <c r="A712" s="2" t="s">
        <v>3805</v>
      </c>
      <c r="B712" s="2" t="s">
        <v>27</v>
      </c>
      <c r="C712" s="2" t="s">
        <v>3806</v>
      </c>
      <c r="D712" s="2" t="s">
        <v>3807</v>
      </c>
      <c r="E712" s="2" t="s">
        <v>3808</v>
      </c>
      <c r="F712" s="2" t="s">
        <v>3750</v>
      </c>
      <c r="G712" s="2" t="s">
        <v>3750</v>
      </c>
      <c r="H712" s="2" t="s">
        <v>3694</v>
      </c>
      <c r="I712" s="2" t="s">
        <v>0</v>
      </c>
      <c r="J712" s="2" t="s">
        <v>0</v>
      </c>
      <c r="K712" s="2" t="s">
        <v>3695</v>
      </c>
      <c r="L712" s="2" t="s">
        <v>0</v>
      </c>
      <c r="M712" s="2" t="s">
        <v>0</v>
      </c>
      <c r="N712" s="2" t="s">
        <v>0</v>
      </c>
      <c r="O712" s="2" t="s">
        <v>82</v>
      </c>
      <c r="P712" s="2" t="s">
        <v>33</v>
      </c>
      <c r="Q712" s="2" t="s">
        <v>214</v>
      </c>
      <c r="R712" s="2" t="s">
        <v>34</v>
      </c>
      <c r="S712" s="2" t="s">
        <v>205</v>
      </c>
      <c r="T712" s="2" t="s">
        <v>35</v>
      </c>
      <c r="U712" s="2" t="s">
        <v>0</v>
      </c>
    </row>
    <row r="713" spans="1:21">
      <c r="A713" s="2" t="s">
        <v>3809</v>
      </c>
      <c r="B713" s="2" t="s">
        <v>3</v>
      </c>
      <c r="C713" s="2" t="s">
        <v>3810</v>
      </c>
      <c r="D713" s="2" t="s">
        <v>3811</v>
      </c>
      <c r="E713" s="2" t="s">
        <v>3812</v>
      </c>
      <c r="F713" s="2" t="s">
        <v>3692</v>
      </c>
      <c r="G713" s="2" t="s">
        <v>3693</v>
      </c>
      <c r="H713" s="2" t="s">
        <v>3694</v>
      </c>
      <c r="I713" s="2" t="s">
        <v>0</v>
      </c>
      <c r="J713" s="2" t="s">
        <v>0</v>
      </c>
      <c r="K713" s="2" t="s">
        <v>3695</v>
      </c>
      <c r="L713" s="2" t="s">
        <v>0</v>
      </c>
      <c r="M713" s="2" t="s">
        <v>0</v>
      </c>
      <c r="N713" s="2" t="s">
        <v>0</v>
      </c>
      <c r="O713" s="2" t="s">
        <v>82</v>
      </c>
      <c r="P713" s="2" t="s">
        <v>14</v>
      </c>
      <c r="Q713" s="2" t="s">
        <v>15</v>
      </c>
      <c r="R713" s="2" t="s">
        <v>16</v>
      </c>
      <c r="S713" s="2" t="s">
        <v>17</v>
      </c>
      <c r="T713" s="2" t="s">
        <v>18</v>
      </c>
      <c r="U713" s="2" t="s">
        <v>3813</v>
      </c>
    </row>
    <row r="714" spans="1:21">
      <c r="A714" s="2" t="s">
        <v>3814</v>
      </c>
      <c r="B714" s="2" t="s">
        <v>46</v>
      </c>
      <c r="C714" s="2" t="s">
        <v>3815</v>
      </c>
      <c r="D714" s="2" t="s">
        <v>3816</v>
      </c>
      <c r="E714" s="2" t="s">
        <v>3817</v>
      </c>
      <c r="F714" s="2" t="s">
        <v>3692</v>
      </c>
      <c r="G714" s="2" t="s">
        <v>3693</v>
      </c>
      <c r="H714" s="2" t="s">
        <v>3694</v>
      </c>
      <c r="I714" s="2" t="s">
        <v>0</v>
      </c>
      <c r="J714" s="2" t="s">
        <v>0</v>
      </c>
      <c r="K714" s="2" t="s">
        <v>3695</v>
      </c>
      <c r="L714" s="2" t="s">
        <v>0</v>
      </c>
      <c r="M714" s="2" t="s">
        <v>0</v>
      </c>
      <c r="N714" s="2" t="s">
        <v>0</v>
      </c>
      <c r="O714" s="2" t="s">
        <v>82</v>
      </c>
      <c r="P714" s="2" t="s">
        <v>14</v>
      </c>
      <c r="Q714" s="2" t="s">
        <v>15</v>
      </c>
      <c r="R714" s="2" t="s">
        <v>16</v>
      </c>
      <c r="S714" s="2" t="s">
        <v>17</v>
      </c>
      <c r="T714" s="2" t="s">
        <v>18</v>
      </c>
      <c r="U714" s="2" t="s">
        <v>0</v>
      </c>
    </row>
    <row r="715" spans="1:21">
      <c r="A715" s="2" t="s">
        <v>3818</v>
      </c>
      <c r="B715" s="2" t="s">
        <v>46</v>
      </c>
      <c r="C715" s="2" t="s">
        <v>3819</v>
      </c>
      <c r="D715" s="2" t="s">
        <v>3820</v>
      </c>
      <c r="E715" s="2" t="s">
        <v>3821</v>
      </c>
      <c r="F715" s="2" t="s">
        <v>418</v>
      </c>
      <c r="G715" s="2" t="s">
        <v>419</v>
      </c>
      <c r="H715" s="2" t="s">
        <v>3694</v>
      </c>
      <c r="I715" s="2" t="s">
        <v>0</v>
      </c>
      <c r="J715" s="2" t="s">
        <v>0</v>
      </c>
      <c r="K715" s="2" t="s">
        <v>3695</v>
      </c>
      <c r="L715" s="2" t="s">
        <v>0</v>
      </c>
      <c r="M715" s="2" t="s">
        <v>0</v>
      </c>
      <c r="N715" s="2" t="s">
        <v>0</v>
      </c>
      <c r="O715" s="2" t="s">
        <v>82</v>
      </c>
      <c r="P715" s="2" t="s">
        <v>14</v>
      </c>
      <c r="Q715" s="2" t="s">
        <v>52</v>
      </c>
      <c r="R715" s="2" t="s">
        <v>53</v>
      </c>
      <c r="S715" s="2" t="s">
        <v>17</v>
      </c>
      <c r="T715" s="2" t="s">
        <v>18</v>
      </c>
      <c r="U715" s="2" t="s">
        <v>3822</v>
      </c>
    </row>
    <row r="716" spans="1:21">
      <c r="A716" s="2" t="s">
        <v>3823</v>
      </c>
      <c r="B716" s="2" t="s">
        <v>27</v>
      </c>
      <c r="C716" s="2" t="s">
        <v>3824</v>
      </c>
      <c r="D716" s="2" t="s">
        <v>3825</v>
      </c>
      <c r="E716" s="2" t="s">
        <v>3826</v>
      </c>
      <c r="F716" s="2" t="s">
        <v>3827</v>
      </c>
      <c r="G716" s="2" t="s">
        <v>3828</v>
      </c>
      <c r="H716" s="2" t="s">
        <v>3694</v>
      </c>
      <c r="I716" s="2" t="s">
        <v>0</v>
      </c>
      <c r="J716" s="2" t="s">
        <v>0</v>
      </c>
      <c r="K716" s="2" t="s">
        <v>3695</v>
      </c>
      <c r="L716" s="2" t="s">
        <v>0</v>
      </c>
      <c r="M716" s="2" t="s">
        <v>0</v>
      </c>
      <c r="N716" s="2" t="s">
        <v>0</v>
      </c>
      <c r="O716" s="2" t="s">
        <v>82</v>
      </c>
      <c r="P716" s="2" t="s">
        <v>14</v>
      </c>
      <c r="Q716" s="2" t="s">
        <v>52</v>
      </c>
      <c r="R716" s="2" t="s">
        <v>53</v>
      </c>
      <c r="S716" s="2" t="s">
        <v>17</v>
      </c>
      <c r="T716" s="2" t="s">
        <v>35</v>
      </c>
      <c r="U716" s="2" t="s">
        <v>3829</v>
      </c>
    </row>
    <row r="717" spans="1:21">
      <c r="A717" s="2" t="s">
        <v>3830</v>
      </c>
      <c r="B717" s="2" t="s">
        <v>3</v>
      </c>
      <c r="C717" s="2" t="s">
        <v>3831</v>
      </c>
      <c r="D717" s="2" t="s">
        <v>3832</v>
      </c>
      <c r="E717" s="2" t="s">
        <v>3833</v>
      </c>
      <c r="F717" s="2" t="s">
        <v>3692</v>
      </c>
      <c r="G717" s="2" t="s">
        <v>3693</v>
      </c>
      <c r="H717" s="2" t="s">
        <v>3694</v>
      </c>
      <c r="I717" s="2" t="s">
        <v>0</v>
      </c>
      <c r="J717" s="2" t="s">
        <v>0</v>
      </c>
      <c r="K717" s="2" t="s">
        <v>3695</v>
      </c>
      <c r="L717" s="2" t="s">
        <v>0</v>
      </c>
      <c r="M717" s="2" t="s">
        <v>0</v>
      </c>
      <c r="N717" s="2" t="s">
        <v>0</v>
      </c>
      <c r="O717" s="2" t="s">
        <v>82</v>
      </c>
      <c r="P717" s="2" t="s">
        <v>14</v>
      </c>
      <c r="Q717" s="2" t="s">
        <v>52</v>
      </c>
      <c r="R717" s="2" t="s">
        <v>53</v>
      </c>
      <c r="S717" s="2" t="s">
        <v>17</v>
      </c>
      <c r="T717" s="2" t="s">
        <v>18</v>
      </c>
      <c r="U717" s="2" t="s">
        <v>0</v>
      </c>
    </row>
    <row r="718" spans="1:21">
      <c r="A718" s="2" t="s">
        <v>3834</v>
      </c>
      <c r="B718" s="2" t="s">
        <v>3</v>
      </c>
      <c r="C718" s="2" t="s">
        <v>3835</v>
      </c>
      <c r="D718" s="2" t="s">
        <v>3836</v>
      </c>
      <c r="E718" s="2" t="s">
        <v>3837</v>
      </c>
      <c r="F718" s="2" t="s">
        <v>3692</v>
      </c>
      <c r="G718" s="2" t="s">
        <v>3693</v>
      </c>
      <c r="H718" s="2" t="s">
        <v>3694</v>
      </c>
      <c r="I718" s="2" t="s">
        <v>0</v>
      </c>
      <c r="J718" s="2" t="s">
        <v>0</v>
      </c>
      <c r="K718" s="2" t="s">
        <v>3695</v>
      </c>
      <c r="L718" s="2" t="s">
        <v>0</v>
      </c>
      <c r="M718" s="2" t="s">
        <v>0</v>
      </c>
      <c r="N718" s="2" t="s">
        <v>0</v>
      </c>
      <c r="O718" s="2" t="s">
        <v>82</v>
      </c>
      <c r="P718" s="2" t="s">
        <v>14</v>
      </c>
      <c r="Q718" s="2" t="s">
        <v>52</v>
      </c>
      <c r="R718" s="2" t="s">
        <v>53</v>
      </c>
      <c r="S718" s="2" t="s">
        <v>17</v>
      </c>
      <c r="T718" s="2" t="s">
        <v>18</v>
      </c>
      <c r="U718" s="2" t="s">
        <v>0</v>
      </c>
    </row>
    <row r="719" spans="1:21">
      <c r="A719" s="2" t="s">
        <v>3838</v>
      </c>
      <c r="B719" s="2" t="s">
        <v>3</v>
      </c>
      <c r="C719" s="2" t="s">
        <v>3839</v>
      </c>
      <c r="D719" s="2" t="s">
        <v>3840</v>
      </c>
      <c r="E719" s="2" t="s">
        <v>3841</v>
      </c>
      <c r="F719" s="2" t="s">
        <v>3692</v>
      </c>
      <c r="G719" s="2" t="s">
        <v>3693</v>
      </c>
      <c r="H719" s="2" t="s">
        <v>3694</v>
      </c>
      <c r="I719" s="2" t="s">
        <v>0</v>
      </c>
      <c r="J719" s="2" t="s">
        <v>0</v>
      </c>
      <c r="K719" s="2" t="s">
        <v>3695</v>
      </c>
      <c r="L719" s="2" t="s">
        <v>0</v>
      </c>
      <c r="M719" s="2" t="s">
        <v>0</v>
      </c>
      <c r="N719" s="2" t="s">
        <v>0</v>
      </c>
      <c r="O719" s="2" t="s">
        <v>82</v>
      </c>
      <c r="P719" s="2" t="s">
        <v>14</v>
      </c>
      <c r="Q719" s="2" t="s">
        <v>52</v>
      </c>
      <c r="R719" s="2" t="s">
        <v>53</v>
      </c>
      <c r="S719" s="2" t="s">
        <v>17</v>
      </c>
      <c r="T719" s="2" t="s">
        <v>18</v>
      </c>
      <c r="U719" s="2" t="s">
        <v>0</v>
      </c>
    </row>
    <row r="720" spans="1:21">
      <c r="A720" s="2" t="s">
        <v>3842</v>
      </c>
      <c r="B720" s="2" t="s">
        <v>3</v>
      </c>
      <c r="C720" s="2" t="s">
        <v>3843</v>
      </c>
      <c r="D720" s="2" t="s">
        <v>3844</v>
      </c>
      <c r="E720" s="2" t="s">
        <v>3845</v>
      </c>
      <c r="F720" s="2" t="s">
        <v>3692</v>
      </c>
      <c r="G720" s="2" t="s">
        <v>3693</v>
      </c>
      <c r="H720" s="2" t="s">
        <v>3694</v>
      </c>
      <c r="I720" s="2" t="s">
        <v>0</v>
      </c>
      <c r="J720" s="2" t="s">
        <v>0</v>
      </c>
      <c r="K720" s="2" t="s">
        <v>3695</v>
      </c>
      <c r="L720" s="2" t="s">
        <v>0</v>
      </c>
      <c r="M720" s="2" t="s">
        <v>0</v>
      </c>
      <c r="N720" s="2" t="s">
        <v>0</v>
      </c>
      <c r="O720" s="2" t="s">
        <v>82</v>
      </c>
      <c r="P720" s="2" t="s">
        <v>14</v>
      </c>
      <c r="Q720" s="2" t="s">
        <v>52</v>
      </c>
      <c r="R720" s="2" t="s">
        <v>53</v>
      </c>
      <c r="S720" s="2" t="s">
        <v>17</v>
      </c>
      <c r="T720" s="2" t="s">
        <v>18</v>
      </c>
      <c r="U720" s="2" t="s">
        <v>0</v>
      </c>
    </row>
    <row r="721" spans="1:21">
      <c r="A721" s="2" t="s">
        <v>3846</v>
      </c>
      <c r="B721" s="2" t="s">
        <v>3</v>
      </c>
      <c r="C721" s="2" t="s">
        <v>3847</v>
      </c>
      <c r="D721" s="2" t="s">
        <v>3848</v>
      </c>
      <c r="E721" s="2" t="s">
        <v>3849</v>
      </c>
      <c r="F721" s="2" t="s">
        <v>595</v>
      </c>
      <c r="G721" s="2" t="s">
        <v>596</v>
      </c>
      <c r="H721" s="2" t="s">
        <v>3850</v>
      </c>
      <c r="I721" s="2" t="s">
        <v>0</v>
      </c>
      <c r="J721" s="2" t="s">
        <v>3851</v>
      </c>
      <c r="K721" s="2" t="s">
        <v>0</v>
      </c>
      <c r="L721" s="2" t="s">
        <v>3852</v>
      </c>
      <c r="M721" s="2" t="s">
        <v>3853</v>
      </c>
      <c r="N721" s="2" t="s">
        <v>0</v>
      </c>
      <c r="O721" s="2" t="s">
        <v>13</v>
      </c>
      <c r="P721" s="2" t="s">
        <v>33</v>
      </c>
      <c r="Q721" s="2" t="s">
        <v>0</v>
      </c>
      <c r="R721" s="2" t="s">
        <v>34</v>
      </c>
      <c r="S721" s="2" t="s">
        <v>84</v>
      </c>
      <c r="T721" s="2" t="s">
        <v>18</v>
      </c>
      <c r="U721" s="2" t="s">
        <v>0</v>
      </c>
    </row>
    <row r="722" spans="1:21">
      <c r="A722" s="2" t="s">
        <v>3854</v>
      </c>
      <c r="B722" s="2" t="s">
        <v>3</v>
      </c>
      <c r="C722" s="2" t="s">
        <v>3855</v>
      </c>
      <c r="D722" s="2" t="s">
        <v>3856</v>
      </c>
      <c r="E722" s="2" t="s">
        <v>3857</v>
      </c>
      <c r="F722" s="2" t="s">
        <v>3858</v>
      </c>
      <c r="G722" s="2" t="s">
        <v>3859</v>
      </c>
      <c r="H722" s="2" t="s">
        <v>3850</v>
      </c>
      <c r="I722" s="2" t="s">
        <v>0</v>
      </c>
      <c r="J722" s="2" t="s">
        <v>3851</v>
      </c>
      <c r="K722" s="2" t="s">
        <v>0</v>
      </c>
      <c r="L722" s="2" t="s">
        <v>3852</v>
      </c>
      <c r="M722" s="2" t="s">
        <v>3853</v>
      </c>
      <c r="N722" s="2" t="s">
        <v>0</v>
      </c>
      <c r="O722" s="2" t="s">
        <v>13</v>
      </c>
      <c r="P722" s="2" t="s">
        <v>33</v>
      </c>
      <c r="Q722" s="2" t="s">
        <v>214</v>
      </c>
      <c r="R722" s="2" t="s">
        <v>34</v>
      </c>
      <c r="S722" s="2" t="s">
        <v>84</v>
      </c>
      <c r="T722" s="2" t="s">
        <v>18</v>
      </c>
      <c r="U722" s="2" t="s">
        <v>3860</v>
      </c>
    </row>
    <row r="723" spans="1:21">
      <c r="A723" s="2" t="s">
        <v>3861</v>
      </c>
      <c r="B723" s="2" t="s">
        <v>3</v>
      </c>
      <c r="C723" s="2" t="s">
        <v>3862</v>
      </c>
      <c r="D723" s="2" t="s">
        <v>3863</v>
      </c>
      <c r="E723" s="2" t="s">
        <v>3864</v>
      </c>
      <c r="F723" s="2" t="s">
        <v>595</v>
      </c>
      <c r="G723" s="2" t="s">
        <v>596</v>
      </c>
      <c r="H723" s="2" t="s">
        <v>3850</v>
      </c>
      <c r="I723" s="2" t="s">
        <v>0</v>
      </c>
      <c r="J723" s="2" t="s">
        <v>3851</v>
      </c>
      <c r="K723" s="2" t="s">
        <v>0</v>
      </c>
      <c r="L723" s="2" t="s">
        <v>3852</v>
      </c>
      <c r="M723" s="2" t="s">
        <v>3853</v>
      </c>
      <c r="N723" s="2" t="s">
        <v>0</v>
      </c>
      <c r="O723" s="2" t="s">
        <v>13</v>
      </c>
      <c r="P723" s="2" t="s">
        <v>33</v>
      </c>
      <c r="Q723" s="2" t="s">
        <v>214</v>
      </c>
      <c r="R723" s="2" t="s">
        <v>34</v>
      </c>
      <c r="S723" s="2" t="s">
        <v>84</v>
      </c>
      <c r="T723" s="2" t="s">
        <v>18</v>
      </c>
      <c r="U723" s="2" t="s">
        <v>0</v>
      </c>
    </row>
    <row r="724" spans="1:21">
      <c r="A724" s="2" t="s">
        <v>3865</v>
      </c>
      <c r="B724" s="2" t="s">
        <v>27</v>
      </c>
      <c r="C724" s="2" t="s">
        <v>77</v>
      </c>
      <c r="D724" s="2" t="s">
        <v>3866</v>
      </c>
      <c r="E724" s="2" t="s">
        <v>3867</v>
      </c>
      <c r="F724" s="2" t="s">
        <v>595</v>
      </c>
      <c r="G724" s="2" t="s">
        <v>596</v>
      </c>
      <c r="H724" s="2" t="s">
        <v>3850</v>
      </c>
      <c r="I724" s="2" t="s">
        <v>0</v>
      </c>
      <c r="J724" s="2" t="s">
        <v>3851</v>
      </c>
      <c r="K724" s="2" t="s">
        <v>0</v>
      </c>
      <c r="L724" s="2" t="s">
        <v>3852</v>
      </c>
      <c r="M724" s="2" t="s">
        <v>3853</v>
      </c>
      <c r="N724" s="2" t="s">
        <v>0</v>
      </c>
      <c r="O724" s="2" t="s">
        <v>13</v>
      </c>
      <c r="P724" s="2" t="s">
        <v>33</v>
      </c>
      <c r="Q724" s="2" t="s">
        <v>214</v>
      </c>
      <c r="R724" s="2" t="s">
        <v>34</v>
      </c>
      <c r="S724" s="2" t="s">
        <v>84</v>
      </c>
      <c r="T724" s="2" t="s">
        <v>35</v>
      </c>
      <c r="U724" s="2" t="s">
        <v>0</v>
      </c>
    </row>
    <row r="725" spans="1:21">
      <c r="A725" s="2" t="s">
        <v>3868</v>
      </c>
      <c r="B725" s="2" t="s">
        <v>46</v>
      </c>
      <c r="C725" s="2" t="s">
        <v>2323</v>
      </c>
      <c r="D725" s="2" t="s">
        <v>3869</v>
      </c>
      <c r="E725" s="2" t="s">
        <v>3870</v>
      </c>
      <c r="F725" s="2" t="s">
        <v>3871</v>
      </c>
      <c r="G725" s="2" t="s">
        <v>3872</v>
      </c>
      <c r="H725" s="2" t="s">
        <v>3850</v>
      </c>
      <c r="I725" s="2" t="s">
        <v>0</v>
      </c>
      <c r="J725" s="2" t="s">
        <v>3851</v>
      </c>
      <c r="K725" s="2" t="s">
        <v>0</v>
      </c>
      <c r="L725" s="2" t="s">
        <v>3852</v>
      </c>
      <c r="M725" s="2" t="s">
        <v>3853</v>
      </c>
      <c r="N725" s="2" t="s">
        <v>0</v>
      </c>
      <c r="O725" s="2" t="s">
        <v>13</v>
      </c>
      <c r="P725" s="2" t="s">
        <v>33</v>
      </c>
      <c r="Q725" s="2" t="s">
        <v>214</v>
      </c>
      <c r="R725" s="2" t="s">
        <v>34</v>
      </c>
      <c r="S725" s="2" t="s">
        <v>205</v>
      </c>
      <c r="T725" s="2" t="s">
        <v>18</v>
      </c>
      <c r="U725" s="2" t="s">
        <v>0</v>
      </c>
    </row>
    <row r="726" spans="1:21">
      <c r="A726" s="2" t="s">
        <v>3873</v>
      </c>
      <c r="B726" s="2" t="s">
        <v>27</v>
      </c>
      <c r="C726" s="2" t="s">
        <v>3874</v>
      </c>
      <c r="D726" s="2" t="s">
        <v>3875</v>
      </c>
      <c r="E726" s="2" t="s">
        <v>3876</v>
      </c>
      <c r="F726" s="2" t="s">
        <v>595</v>
      </c>
      <c r="G726" s="2" t="s">
        <v>596</v>
      </c>
      <c r="H726" s="2" t="s">
        <v>3850</v>
      </c>
      <c r="I726" s="2" t="s">
        <v>0</v>
      </c>
      <c r="J726" s="2" t="s">
        <v>3851</v>
      </c>
      <c r="K726" s="2" t="s">
        <v>0</v>
      </c>
      <c r="L726" s="2" t="s">
        <v>3852</v>
      </c>
      <c r="M726" s="2" t="s">
        <v>3853</v>
      </c>
      <c r="N726" s="2" t="s">
        <v>0</v>
      </c>
      <c r="O726" s="2" t="s">
        <v>13</v>
      </c>
      <c r="P726" s="2" t="s">
        <v>33</v>
      </c>
      <c r="Q726" s="2" t="s">
        <v>214</v>
      </c>
      <c r="R726" s="2" t="s">
        <v>34</v>
      </c>
      <c r="S726" s="2" t="s">
        <v>205</v>
      </c>
      <c r="T726" s="2" t="s">
        <v>35</v>
      </c>
      <c r="U726" s="2" t="s">
        <v>0</v>
      </c>
    </row>
    <row r="727" spans="1:21">
      <c r="A727" s="2" t="s">
        <v>3877</v>
      </c>
      <c r="B727" s="2" t="s">
        <v>27</v>
      </c>
      <c r="C727" s="2" t="s">
        <v>3878</v>
      </c>
      <c r="D727" s="2" t="s">
        <v>3879</v>
      </c>
      <c r="E727" s="2" t="s">
        <v>3880</v>
      </c>
      <c r="F727" s="2" t="s">
        <v>3881</v>
      </c>
      <c r="G727" s="2" t="s">
        <v>3882</v>
      </c>
      <c r="H727" s="2" t="s">
        <v>3883</v>
      </c>
      <c r="I727" s="2" t="s">
        <v>0</v>
      </c>
      <c r="J727" s="2" t="s">
        <v>0</v>
      </c>
      <c r="K727" s="2" t="s">
        <v>0</v>
      </c>
      <c r="L727" s="2" t="s">
        <v>0</v>
      </c>
      <c r="M727" s="2" t="s">
        <v>3853</v>
      </c>
      <c r="N727" s="2" t="s">
        <v>0</v>
      </c>
      <c r="O727" s="2" t="s">
        <v>82</v>
      </c>
      <c r="P727" s="2" t="s">
        <v>33</v>
      </c>
      <c r="Q727" s="2" t="s">
        <v>214</v>
      </c>
      <c r="R727" s="2" t="s">
        <v>34</v>
      </c>
      <c r="S727" s="2" t="s">
        <v>84</v>
      </c>
      <c r="T727" s="2" t="s">
        <v>35</v>
      </c>
      <c r="U727" s="2" t="s">
        <v>3884</v>
      </c>
    </row>
    <row r="728" spans="1:21">
      <c r="A728" s="2" t="s">
        <v>3885</v>
      </c>
      <c r="B728" s="2" t="s">
        <v>27</v>
      </c>
      <c r="C728" s="2" t="s">
        <v>3886</v>
      </c>
      <c r="D728" s="2" t="s">
        <v>3887</v>
      </c>
      <c r="E728" s="2" t="s">
        <v>3888</v>
      </c>
      <c r="F728" s="2" t="s">
        <v>3889</v>
      </c>
      <c r="G728" s="2" t="s">
        <v>3890</v>
      </c>
      <c r="H728" s="2" t="s">
        <v>3891</v>
      </c>
      <c r="I728" s="2" t="s">
        <v>0</v>
      </c>
      <c r="J728" s="2" t="s">
        <v>0</v>
      </c>
      <c r="K728" s="2" t="s">
        <v>0</v>
      </c>
      <c r="L728" s="2" t="s">
        <v>0</v>
      </c>
      <c r="M728" s="2" t="s">
        <v>3853</v>
      </c>
      <c r="N728" s="2" t="s">
        <v>0</v>
      </c>
      <c r="O728" s="2" t="s">
        <v>82</v>
      </c>
      <c r="P728" s="2" t="s">
        <v>33</v>
      </c>
      <c r="Q728" s="2" t="s">
        <v>214</v>
      </c>
      <c r="R728" s="2" t="s">
        <v>34</v>
      </c>
      <c r="S728" s="2" t="s">
        <v>84</v>
      </c>
      <c r="T728" s="2" t="s">
        <v>35</v>
      </c>
      <c r="U728" s="2" t="s">
        <v>3892</v>
      </c>
    </row>
    <row r="729" spans="1:21">
      <c r="A729" s="2" t="s">
        <v>3893</v>
      </c>
      <c r="B729" s="2" t="s">
        <v>27</v>
      </c>
      <c r="C729" s="2" t="s">
        <v>3894</v>
      </c>
      <c r="D729" s="2" t="s">
        <v>3895</v>
      </c>
      <c r="E729" s="2" t="s">
        <v>3896</v>
      </c>
      <c r="F729" s="2" t="s">
        <v>3897</v>
      </c>
      <c r="G729" s="2" t="s">
        <v>3898</v>
      </c>
      <c r="H729" s="2" t="s">
        <v>3899</v>
      </c>
      <c r="I729" s="2" t="s">
        <v>0</v>
      </c>
      <c r="J729" s="2" t="s">
        <v>3900</v>
      </c>
      <c r="K729" s="2" t="s">
        <v>0</v>
      </c>
      <c r="L729" s="2" t="s">
        <v>3901</v>
      </c>
      <c r="M729" s="2" t="s">
        <v>3853</v>
      </c>
      <c r="N729" s="2" t="s">
        <v>0</v>
      </c>
      <c r="O729" s="2" t="s">
        <v>13</v>
      </c>
      <c r="P729" s="2" t="s">
        <v>33</v>
      </c>
      <c r="Q729" s="2" t="s">
        <v>214</v>
      </c>
      <c r="R729" s="2" t="s">
        <v>34</v>
      </c>
      <c r="S729" s="2" t="s">
        <v>84</v>
      </c>
      <c r="T729" s="2" t="s">
        <v>35</v>
      </c>
      <c r="U729" s="2" t="s">
        <v>0</v>
      </c>
    </row>
    <row r="730" spans="1:21">
      <c r="A730" s="2" t="s">
        <v>3902</v>
      </c>
      <c r="B730" s="2" t="s">
        <v>3</v>
      </c>
      <c r="C730" s="2" t="s">
        <v>3903</v>
      </c>
      <c r="D730" s="2" t="s">
        <v>3904</v>
      </c>
      <c r="E730" s="2" t="s">
        <v>3905</v>
      </c>
      <c r="F730" s="2" t="s">
        <v>595</v>
      </c>
      <c r="G730" s="2" t="s">
        <v>596</v>
      </c>
      <c r="H730" s="2" t="s">
        <v>3899</v>
      </c>
      <c r="I730" s="2" t="s">
        <v>0</v>
      </c>
      <c r="J730" s="2" t="s">
        <v>3900</v>
      </c>
      <c r="K730" s="2" t="s">
        <v>0</v>
      </c>
      <c r="L730" s="2" t="s">
        <v>3901</v>
      </c>
      <c r="M730" s="2" t="s">
        <v>3853</v>
      </c>
      <c r="N730" s="2" t="s">
        <v>0</v>
      </c>
      <c r="O730" s="2" t="s">
        <v>13</v>
      </c>
      <c r="P730" s="2" t="s">
        <v>33</v>
      </c>
      <c r="Q730" s="2" t="s">
        <v>214</v>
      </c>
      <c r="R730" s="2" t="s">
        <v>34</v>
      </c>
      <c r="S730" s="2" t="s">
        <v>84</v>
      </c>
      <c r="T730" s="2" t="s">
        <v>18</v>
      </c>
      <c r="U730" s="2" t="s">
        <v>0</v>
      </c>
    </row>
    <row r="731" spans="1:21">
      <c r="A731" s="2" t="s">
        <v>3906</v>
      </c>
      <c r="B731" s="2" t="s">
        <v>3</v>
      </c>
      <c r="C731" s="2" t="s">
        <v>3907</v>
      </c>
      <c r="D731" s="2" t="s">
        <v>3908</v>
      </c>
      <c r="E731" s="2" t="s">
        <v>3909</v>
      </c>
      <c r="F731" s="2" t="s">
        <v>595</v>
      </c>
      <c r="G731" s="2" t="s">
        <v>596</v>
      </c>
      <c r="H731" s="2" t="s">
        <v>3899</v>
      </c>
      <c r="I731" s="2" t="s">
        <v>0</v>
      </c>
      <c r="J731" s="2" t="s">
        <v>3900</v>
      </c>
      <c r="K731" s="2" t="s">
        <v>0</v>
      </c>
      <c r="L731" s="2" t="s">
        <v>3901</v>
      </c>
      <c r="M731" s="2" t="s">
        <v>3853</v>
      </c>
      <c r="N731" s="2" t="s">
        <v>0</v>
      </c>
      <c r="O731" s="2" t="s">
        <v>13</v>
      </c>
      <c r="P731" s="2" t="s">
        <v>33</v>
      </c>
      <c r="Q731" s="2" t="s">
        <v>214</v>
      </c>
      <c r="R731" s="2" t="s">
        <v>34</v>
      </c>
      <c r="S731" s="2" t="s">
        <v>84</v>
      </c>
      <c r="T731" s="2" t="s">
        <v>18</v>
      </c>
      <c r="U731" s="2" t="s">
        <v>3910</v>
      </c>
    </row>
    <row r="732" spans="1:21">
      <c r="A732" s="2" t="s">
        <v>3911</v>
      </c>
      <c r="B732" s="2" t="s">
        <v>3</v>
      </c>
      <c r="C732" s="2" t="s">
        <v>3912</v>
      </c>
      <c r="D732" s="2" t="s">
        <v>3913</v>
      </c>
      <c r="E732" s="2" t="s">
        <v>3914</v>
      </c>
      <c r="F732" s="2" t="s">
        <v>595</v>
      </c>
      <c r="G732" s="2" t="s">
        <v>596</v>
      </c>
      <c r="H732" s="2" t="s">
        <v>3899</v>
      </c>
      <c r="I732" s="2" t="s">
        <v>0</v>
      </c>
      <c r="J732" s="2" t="s">
        <v>3900</v>
      </c>
      <c r="K732" s="2" t="s">
        <v>0</v>
      </c>
      <c r="L732" s="2" t="s">
        <v>3901</v>
      </c>
      <c r="M732" s="2" t="s">
        <v>3853</v>
      </c>
      <c r="N732" s="2" t="s">
        <v>0</v>
      </c>
      <c r="O732" s="2" t="s">
        <v>13</v>
      </c>
      <c r="P732" s="2" t="s">
        <v>33</v>
      </c>
      <c r="Q732" s="2" t="s">
        <v>214</v>
      </c>
      <c r="R732" s="2" t="s">
        <v>34</v>
      </c>
      <c r="S732" s="2" t="s">
        <v>205</v>
      </c>
      <c r="T732" s="2" t="s">
        <v>18</v>
      </c>
      <c r="U732" s="2" t="s">
        <v>0</v>
      </c>
    </row>
    <row r="733" spans="1:21">
      <c r="A733" s="2" t="s">
        <v>3915</v>
      </c>
      <c r="B733" s="2" t="s">
        <v>27</v>
      </c>
      <c r="C733" s="2" t="s">
        <v>3146</v>
      </c>
      <c r="D733" s="2" t="s">
        <v>3916</v>
      </c>
      <c r="E733" s="2" t="s">
        <v>3917</v>
      </c>
      <c r="F733" s="2" t="s">
        <v>3918</v>
      </c>
      <c r="G733" s="2" t="s">
        <v>3919</v>
      </c>
      <c r="H733" s="2" t="s">
        <v>3920</v>
      </c>
      <c r="I733" s="2" t="s">
        <v>0</v>
      </c>
      <c r="J733" s="2" t="s">
        <v>3921</v>
      </c>
      <c r="K733" s="2" t="s">
        <v>0</v>
      </c>
      <c r="L733" s="2" t="s">
        <v>3901</v>
      </c>
      <c r="M733" s="2" t="s">
        <v>3853</v>
      </c>
      <c r="N733" s="2" t="s">
        <v>0</v>
      </c>
      <c r="O733" s="2" t="s">
        <v>13</v>
      </c>
      <c r="P733" s="2" t="s">
        <v>33</v>
      </c>
      <c r="Q733" s="2" t="s">
        <v>214</v>
      </c>
      <c r="R733" s="2" t="s">
        <v>34</v>
      </c>
      <c r="S733" s="2" t="s">
        <v>84</v>
      </c>
      <c r="T733" s="2" t="s">
        <v>35</v>
      </c>
      <c r="U733" s="2" t="s">
        <v>3922</v>
      </c>
    </row>
    <row r="734" spans="1:21">
      <c r="A734" s="2" t="s">
        <v>3923</v>
      </c>
      <c r="B734" s="2" t="s">
        <v>3</v>
      </c>
      <c r="C734" s="2" t="s">
        <v>3924</v>
      </c>
      <c r="D734" s="2" t="s">
        <v>3925</v>
      </c>
      <c r="E734" s="2" t="s">
        <v>3926</v>
      </c>
      <c r="F734" s="2" t="s">
        <v>3858</v>
      </c>
      <c r="G734" s="2" t="s">
        <v>3859</v>
      </c>
      <c r="H734" s="2" t="s">
        <v>3920</v>
      </c>
      <c r="I734" s="2" t="s">
        <v>0</v>
      </c>
      <c r="J734" s="2" t="s">
        <v>3921</v>
      </c>
      <c r="K734" s="2" t="s">
        <v>0</v>
      </c>
      <c r="L734" s="2" t="s">
        <v>3901</v>
      </c>
      <c r="M734" s="2" t="s">
        <v>3853</v>
      </c>
      <c r="N734" s="2" t="s">
        <v>0</v>
      </c>
      <c r="O734" s="2" t="s">
        <v>13</v>
      </c>
      <c r="P734" s="2" t="s">
        <v>33</v>
      </c>
      <c r="Q734" s="2" t="s">
        <v>214</v>
      </c>
      <c r="R734" s="2" t="s">
        <v>34</v>
      </c>
      <c r="S734" s="2" t="s">
        <v>84</v>
      </c>
      <c r="T734" s="2" t="s">
        <v>18</v>
      </c>
      <c r="U734" s="2" t="s">
        <v>3927</v>
      </c>
    </row>
    <row r="735" spans="1:21">
      <c r="A735" s="2" t="s">
        <v>3928</v>
      </c>
      <c r="B735" s="2" t="s">
        <v>27</v>
      </c>
      <c r="C735" s="2" t="s">
        <v>3929</v>
      </c>
      <c r="D735" s="2" t="s">
        <v>3930</v>
      </c>
      <c r="E735" s="2" t="s">
        <v>3931</v>
      </c>
      <c r="F735" s="2" t="s">
        <v>595</v>
      </c>
      <c r="G735" s="2" t="s">
        <v>596</v>
      </c>
      <c r="H735" s="2" t="s">
        <v>3920</v>
      </c>
      <c r="I735" s="2" t="s">
        <v>0</v>
      </c>
      <c r="J735" s="2" t="s">
        <v>3921</v>
      </c>
      <c r="K735" s="2" t="s">
        <v>0</v>
      </c>
      <c r="L735" s="2" t="s">
        <v>3901</v>
      </c>
      <c r="M735" s="2" t="s">
        <v>3853</v>
      </c>
      <c r="N735" s="2" t="s">
        <v>0</v>
      </c>
      <c r="O735" s="2" t="s">
        <v>13</v>
      </c>
      <c r="P735" s="2" t="s">
        <v>33</v>
      </c>
      <c r="Q735" s="2" t="s">
        <v>214</v>
      </c>
      <c r="R735" s="2" t="s">
        <v>34</v>
      </c>
      <c r="S735" s="2" t="s">
        <v>84</v>
      </c>
      <c r="T735" s="2" t="s">
        <v>35</v>
      </c>
      <c r="U735" s="2" t="s">
        <v>0</v>
      </c>
    </row>
    <row r="736" spans="1:21">
      <c r="A736" s="2" t="s">
        <v>3932</v>
      </c>
      <c r="B736" s="2" t="s">
        <v>3</v>
      </c>
      <c r="C736" s="2" t="s">
        <v>3933</v>
      </c>
      <c r="D736" s="2" t="s">
        <v>3934</v>
      </c>
      <c r="E736" s="2" t="s">
        <v>3935</v>
      </c>
      <c r="F736" s="2" t="s">
        <v>595</v>
      </c>
      <c r="G736" s="2" t="s">
        <v>596</v>
      </c>
      <c r="H736" s="2" t="s">
        <v>3936</v>
      </c>
      <c r="I736" s="2" t="s">
        <v>0</v>
      </c>
      <c r="J736" s="2" t="s">
        <v>3937</v>
      </c>
      <c r="K736" s="2" t="s">
        <v>0</v>
      </c>
      <c r="L736" s="2" t="s">
        <v>3852</v>
      </c>
      <c r="M736" s="2" t="s">
        <v>3853</v>
      </c>
      <c r="N736" s="2" t="s">
        <v>0</v>
      </c>
      <c r="O736" s="2" t="s">
        <v>13</v>
      </c>
      <c r="P736" s="2" t="s">
        <v>33</v>
      </c>
      <c r="Q736" s="2" t="s">
        <v>214</v>
      </c>
      <c r="R736" s="2" t="s">
        <v>34</v>
      </c>
      <c r="S736" s="2" t="s">
        <v>84</v>
      </c>
      <c r="T736" s="2" t="s">
        <v>18</v>
      </c>
      <c r="U736" s="2" t="s">
        <v>3938</v>
      </c>
    </row>
    <row r="737" spans="1:21">
      <c r="A737" s="2" t="s">
        <v>3939</v>
      </c>
      <c r="B737" s="2" t="s">
        <v>3</v>
      </c>
      <c r="C737" s="2" t="s">
        <v>3940</v>
      </c>
      <c r="D737" s="2" t="s">
        <v>3941</v>
      </c>
      <c r="E737" s="2" t="s">
        <v>3942</v>
      </c>
      <c r="F737" s="2" t="s">
        <v>3943</v>
      </c>
      <c r="G737" s="2" t="s">
        <v>3944</v>
      </c>
      <c r="H737" s="2" t="s">
        <v>3936</v>
      </c>
      <c r="I737" s="2" t="s">
        <v>0</v>
      </c>
      <c r="J737" s="2" t="s">
        <v>3937</v>
      </c>
      <c r="K737" s="2" t="s">
        <v>0</v>
      </c>
      <c r="L737" s="2" t="s">
        <v>3852</v>
      </c>
      <c r="M737" s="2" t="s">
        <v>3853</v>
      </c>
      <c r="N737" s="2" t="s">
        <v>0</v>
      </c>
      <c r="O737" s="2" t="s">
        <v>13</v>
      </c>
      <c r="P737" s="2" t="s">
        <v>33</v>
      </c>
      <c r="Q737" s="2" t="s">
        <v>214</v>
      </c>
      <c r="R737" s="2" t="s">
        <v>34</v>
      </c>
      <c r="S737" s="2" t="s">
        <v>84</v>
      </c>
      <c r="T737" s="2" t="s">
        <v>18</v>
      </c>
      <c r="U737" s="2" t="s">
        <v>0</v>
      </c>
    </row>
    <row r="738" spans="1:21">
      <c r="A738" s="2" t="s">
        <v>3945</v>
      </c>
      <c r="B738" s="2" t="s">
        <v>27</v>
      </c>
      <c r="C738" s="2" t="s">
        <v>3946</v>
      </c>
      <c r="D738" s="2" t="s">
        <v>2341</v>
      </c>
      <c r="E738" s="2" t="s">
        <v>3947</v>
      </c>
      <c r="F738" s="2" t="s">
        <v>3858</v>
      </c>
      <c r="G738" s="2" t="s">
        <v>3859</v>
      </c>
      <c r="H738" s="2" t="s">
        <v>3936</v>
      </c>
      <c r="I738" s="2" t="s">
        <v>0</v>
      </c>
      <c r="J738" s="2" t="s">
        <v>3937</v>
      </c>
      <c r="K738" s="2" t="s">
        <v>0</v>
      </c>
      <c r="L738" s="2" t="s">
        <v>3852</v>
      </c>
      <c r="M738" s="2" t="s">
        <v>3853</v>
      </c>
      <c r="N738" s="2" t="s">
        <v>0</v>
      </c>
      <c r="O738" s="2" t="s">
        <v>13</v>
      </c>
      <c r="P738" s="2" t="s">
        <v>33</v>
      </c>
      <c r="Q738" s="2" t="s">
        <v>214</v>
      </c>
      <c r="R738" s="2" t="s">
        <v>34</v>
      </c>
      <c r="S738" s="2" t="s">
        <v>84</v>
      </c>
      <c r="T738" s="2" t="s">
        <v>35</v>
      </c>
      <c r="U738" s="2" t="s">
        <v>3948</v>
      </c>
    </row>
    <row r="739" spans="1:21">
      <c r="A739" s="2" t="s">
        <v>3949</v>
      </c>
      <c r="B739" s="2" t="s">
        <v>3</v>
      </c>
      <c r="C739" s="2" t="s">
        <v>3950</v>
      </c>
      <c r="D739" s="2" t="s">
        <v>3951</v>
      </c>
      <c r="E739" s="2" t="s">
        <v>3952</v>
      </c>
      <c r="F739" s="2" t="s">
        <v>3858</v>
      </c>
      <c r="G739" s="2" t="s">
        <v>3859</v>
      </c>
      <c r="H739" s="2" t="s">
        <v>3936</v>
      </c>
      <c r="I739" s="2" t="s">
        <v>0</v>
      </c>
      <c r="J739" s="2" t="s">
        <v>3937</v>
      </c>
      <c r="K739" s="2" t="s">
        <v>0</v>
      </c>
      <c r="L739" s="2" t="s">
        <v>3852</v>
      </c>
      <c r="M739" s="2" t="s">
        <v>3853</v>
      </c>
      <c r="N739" s="2" t="s">
        <v>0</v>
      </c>
      <c r="O739" s="2" t="s">
        <v>13</v>
      </c>
      <c r="P739" s="2" t="s">
        <v>33</v>
      </c>
      <c r="Q739" s="2" t="s">
        <v>214</v>
      </c>
      <c r="R739" s="2" t="s">
        <v>34</v>
      </c>
      <c r="S739" s="2" t="s">
        <v>84</v>
      </c>
      <c r="T739" s="2" t="s">
        <v>18</v>
      </c>
      <c r="U739" s="2" t="s">
        <v>3953</v>
      </c>
    </row>
    <row r="740" spans="1:21">
      <c r="A740" s="2" t="s">
        <v>3954</v>
      </c>
      <c r="B740" s="2" t="s">
        <v>27</v>
      </c>
      <c r="C740" s="2" t="s">
        <v>1181</v>
      </c>
      <c r="D740" s="2" t="s">
        <v>3955</v>
      </c>
      <c r="E740" s="2" t="s">
        <v>3956</v>
      </c>
      <c r="F740" s="2" t="s">
        <v>3957</v>
      </c>
      <c r="G740" s="2" t="s">
        <v>3958</v>
      </c>
      <c r="H740" s="2" t="s">
        <v>3959</v>
      </c>
      <c r="I740" s="2" t="s">
        <v>0</v>
      </c>
      <c r="J740" s="2" t="s">
        <v>3960</v>
      </c>
      <c r="K740" s="2" t="s">
        <v>0</v>
      </c>
      <c r="L740" s="2" t="s">
        <v>3901</v>
      </c>
      <c r="M740" s="2" t="s">
        <v>3853</v>
      </c>
      <c r="N740" s="2" t="s">
        <v>0</v>
      </c>
      <c r="O740" s="2" t="s">
        <v>13</v>
      </c>
      <c r="P740" s="2" t="s">
        <v>14</v>
      </c>
      <c r="Q740" s="2" t="s">
        <v>214</v>
      </c>
      <c r="R740" s="2" t="s">
        <v>16</v>
      </c>
      <c r="S740" s="2" t="s">
        <v>17</v>
      </c>
      <c r="T740" s="2" t="s">
        <v>35</v>
      </c>
      <c r="U740" s="2" t="s">
        <v>0</v>
      </c>
    </row>
    <row r="741" spans="1:21">
      <c r="A741" s="2" t="s">
        <v>3961</v>
      </c>
      <c r="B741" s="2" t="s">
        <v>3</v>
      </c>
      <c r="C741" s="2" t="s">
        <v>3962</v>
      </c>
      <c r="D741" s="2" t="s">
        <v>3963</v>
      </c>
      <c r="E741" s="2" t="s">
        <v>3964</v>
      </c>
      <c r="F741" s="2" t="s">
        <v>3965</v>
      </c>
      <c r="G741" s="2" t="s">
        <v>3966</v>
      </c>
      <c r="H741" s="2" t="s">
        <v>3959</v>
      </c>
      <c r="I741" s="2" t="s">
        <v>0</v>
      </c>
      <c r="J741" s="2" t="s">
        <v>3960</v>
      </c>
      <c r="K741" s="2" t="s">
        <v>0</v>
      </c>
      <c r="L741" s="2" t="s">
        <v>3901</v>
      </c>
      <c r="M741" s="2" t="s">
        <v>3853</v>
      </c>
      <c r="N741" s="2" t="s">
        <v>0</v>
      </c>
      <c r="O741" s="2" t="s">
        <v>13</v>
      </c>
      <c r="P741" s="2" t="s">
        <v>33</v>
      </c>
      <c r="Q741" s="2" t="s">
        <v>214</v>
      </c>
      <c r="R741" s="2" t="s">
        <v>34</v>
      </c>
      <c r="S741" s="2" t="s">
        <v>84</v>
      </c>
      <c r="T741" s="2" t="s">
        <v>18</v>
      </c>
      <c r="U741" s="2" t="s">
        <v>0</v>
      </c>
    </row>
    <row r="742" spans="1:21">
      <c r="A742" s="2" t="s">
        <v>3967</v>
      </c>
      <c r="B742" s="2" t="s">
        <v>27</v>
      </c>
      <c r="C742" s="2" t="s">
        <v>1139</v>
      </c>
      <c r="D742" s="2" t="s">
        <v>3968</v>
      </c>
      <c r="E742" s="2" t="s">
        <v>3969</v>
      </c>
      <c r="F742" s="2" t="s">
        <v>3970</v>
      </c>
      <c r="G742" s="2" t="s">
        <v>3971</v>
      </c>
      <c r="H742" s="2" t="s">
        <v>3959</v>
      </c>
      <c r="I742" s="2" t="s">
        <v>0</v>
      </c>
      <c r="J742" s="2" t="s">
        <v>3960</v>
      </c>
      <c r="K742" s="2" t="s">
        <v>0</v>
      </c>
      <c r="L742" s="2" t="s">
        <v>3901</v>
      </c>
      <c r="M742" s="2" t="s">
        <v>3853</v>
      </c>
      <c r="N742" s="2" t="s">
        <v>0</v>
      </c>
      <c r="O742" s="2" t="s">
        <v>13</v>
      </c>
      <c r="P742" s="2" t="s">
        <v>33</v>
      </c>
      <c r="Q742" s="2" t="s">
        <v>214</v>
      </c>
      <c r="R742" s="2" t="s">
        <v>34</v>
      </c>
      <c r="S742" s="2" t="s">
        <v>84</v>
      </c>
      <c r="T742" s="2" t="s">
        <v>35</v>
      </c>
      <c r="U742" s="2" t="s">
        <v>0</v>
      </c>
    </row>
    <row r="743" spans="1:21">
      <c r="A743" s="2" t="s">
        <v>3972</v>
      </c>
      <c r="B743" s="2" t="s">
        <v>27</v>
      </c>
      <c r="C743" s="2" t="s">
        <v>847</v>
      </c>
      <c r="D743" s="2" t="s">
        <v>3973</v>
      </c>
      <c r="E743" s="2" t="s">
        <v>3974</v>
      </c>
      <c r="F743" s="2" t="s">
        <v>3970</v>
      </c>
      <c r="G743" s="2" t="s">
        <v>3971</v>
      </c>
      <c r="H743" s="2" t="s">
        <v>3959</v>
      </c>
      <c r="I743" s="2" t="s">
        <v>0</v>
      </c>
      <c r="J743" s="2" t="s">
        <v>3960</v>
      </c>
      <c r="K743" s="2" t="s">
        <v>0</v>
      </c>
      <c r="L743" s="2" t="s">
        <v>3901</v>
      </c>
      <c r="M743" s="2" t="s">
        <v>3853</v>
      </c>
      <c r="N743" s="2" t="s">
        <v>0</v>
      </c>
      <c r="O743" s="2" t="s">
        <v>13</v>
      </c>
      <c r="P743" s="2" t="s">
        <v>33</v>
      </c>
      <c r="Q743" s="2" t="s">
        <v>214</v>
      </c>
      <c r="R743" s="2" t="s">
        <v>34</v>
      </c>
      <c r="S743" s="2" t="s">
        <v>84</v>
      </c>
      <c r="T743" s="2" t="s">
        <v>35</v>
      </c>
      <c r="U743" s="2" t="s">
        <v>0</v>
      </c>
    </row>
    <row r="744" spans="1:21">
      <c r="A744" s="2" t="s">
        <v>3975</v>
      </c>
      <c r="B744" s="2" t="s">
        <v>3</v>
      </c>
      <c r="C744" s="2" t="s">
        <v>3976</v>
      </c>
      <c r="D744" s="2" t="s">
        <v>3977</v>
      </c>
      <c r="E744" s="2" t="s">
        <v>3978</v>
      </c>
      <c r="F744" s="2" t="s">
        <v>3979</v>
      </c>
      <c r="G744" s="2" t="s">
        <v>3980</v>
      </c>
      <c r="H744" s="2" t="s">
        <v>3981</v>
      </c>
      <c r="I744" s="2" t="s">
        <v>0</v>
      </c>
      <c r="J744" s="2" t="s">
        <v>3982</v>
      </c>
      <c r="K744" s="2" t="s">
        <v>0</v>
      </c>
      <c r="L744" s="2" t="s">
        <v>3983</v>
      </c>
      <c r="M744" s="2" t="s">
        <v>3853</v>
      </c>
      <c r="N744" s="2" t="s">
        <v>0</v>
      </c>
      <c r="O744" s="2" t="s">
        <v>13</v>
      </c>
      <c r="P744" s="2" t="s">
        <v>33</v>
      </c>
      <c r="Q744" s="2" t="s">
        <v>0</v>
      </c>
      <c r="R744" s="2" t="s">
        <v>34</v>
      </c>
      <c r="S744" s="2" t="s">
        <v>205</v>
      </c>
      <c r="T744" s="2" t="s">
        <v>18</v>
      </c>
      <c r="U744" s="2" t="s">
        <v>0</v>
      </c>
    </row>
    <row r="745" spans="1:21">
      <c r="A745" s="2" t="s">
        <v>3984</v>
      </c>
      <c r="B745" s="2" t="s">
        <v>27</v>
      </c>
      <c r="C745" s="2" t="s">
        <v>3985</v>
      </c>
      <c r="D745" s="2" t="s">
        <v>3986</v>
      </c>
      <c r="E745" s="2" t="s">
        <v>3987</v>
      </c>
      <c r="F745" s="2" t="s">
        <v>3988</v>
      </c>
      <c r="G745" s="2" t="s">
        <v>3989</v>
      </c>
      <c r="H745" s="2" t="s">
        <v>3981</v>
      </c>
      <c r="I745" s="2" t="s">
        <v>0</v>
      </c>
      <c r="J745" s="2" t="s">
        <v>3982</v>
      </c>
      <c r="K745" s="2" t="s">
        <v>0</v>
      </c>
      <c r="L745" s="2" t="s">
        <v>3983</v>
      </c>
      <c r="M745" s="2" t="s">
        <v>3853</v>
      </c>
      <c r="N745" s="2" t="s">
        <v>0</v>
      </c>
      <c r="O745" s="2" t="s">
        <v>13</v>
      </c>
      <c r="P745" s="2" t="s">
        <v>33</v>
      </c>
      <c r="Q745" s="2" t="s">
        <v>214</v>
      </c>
      <c r="R745" s="2" t="s">
        <v>34</v>
      </c>
      <c r="S745" s="2" t="s">
        <v>84</v>
      </c>
      <c r="T745" s="2" t="s">
        <v>35</v>
      </c>
      <c r="U745" s="2" t="s">
        <v>0</v>
      </c>
    </row>
    <row r="746" spans="1:21">
      <c r="A746" s="2" t="s">
        <v>3990</v>
      </c>
      <c r="B746" s="2" t="s">
        <v>3</v>
      </c>
      <c r="C746" s="2" t="s">
        <v>3991</v>
      </c>
      <c r="D746" s="2" t="s">
        <v>3992</v>
      </c>
      <c r="E746" s="2" t="s">
        <v>3993</v>
      </c>
      <c r="F746" s="2" t="s">
        <v>3979</v>
      </c>
      <c r="G746" s="2" t="s">
        <v>3980</v>
      </c>
      <c r="H746" s="2" t="s">
        <v>3981</v>
      </c>
      <c r="I746" s="2" t="s">
        <v>0</v>
      </c>
      <c r="J746" s="2" t="s">
        <v>3982</v>
      </c>
      <c r="K746" s="2" t="s">
        <v>0</v>
      </c>
      <c r="L746" s="2" t="s">
        <v>3983</v>
      </c>
      <c r="M746" s="2" t="s">
        <v>3853</v>
      </c>
      <c r="N746" s="2" t="s">
        <v>0</v>
      </c>
      <c r="O746" s="2" t="s">
        <v>13</v>
      </c>
      <c r="P746" s="2" t="s">
        <v>33</v>
      </c>
      <c r="Q746" s="2" t="s">
        <v>214</v>
      </c>
      <c r="R746" s="2" t="s">
        <v>34</v>
      </c>
      <c r="S746" s="2" t="s">
        <v>84</v>
      </c>
      <c r="T746" s="2" t="s">
        <v>18</v>
      </c>
      <c r="U746" s="2" t="s">
        <v>0</v>
      </c>
    </row>
    <row r="747" spans="1:21">
      <c r="A747" s="2" t="s">
        <v>3994</v>
      </c>
      <c r="B747" s="2" t="s">
        <v>3</v>
      </c>
      <c r="C747" s="2" t="s">
        <v>3995</v>
      </c>
      <c r="D747" s="2" t="s">
        <v>3996</v>
      </c>
      <c r="E747" s="2" t="s">
        <v>3997</v>
      </c>
      <c r="F747" s="2" t="s">
        <v>203</v>
      </c>
      <c r="G747" s="2" t="s">
        <v>204</v>
      </c>
      <c r="H747" s="2" t="s">
        <v>3998</v>
      </c>
      <c r="I747" s="2" t="s">
        <v>0</v>
      </c>
      <c r="J747" s="2" t="s">
        <v>0</v>
      </c>
      <c r="K747" s="2" t="s">
        <v>0</v>
      </c>
      <c r="L747" s="2" t="s">
        <v>0</v>
      </c>
      <c r="M747" s="2" t="s">
        <v>0</v>
      </c>
      <c r="N747" s="2" t="s">
        <v>0</v>
      </c>
      <c r="O747" s="2" t="s">
        <v>82</v>
      </c>
      <c r="P747" s="2" t="s">
        <v>33</v>
      </c>
      <c r="Q747" s="2" t="s">
        <v>198</v>
      </c>
      <c r="R747" s="2" t="s">
        <v>34</v>
      </c>
      <c r="S747" s="2" t="s">
        <v>84</v>
      </c>
      <c r="T747" s="2" t="s">
        <v>18</v>
      </c>
      <c r="U747" s="2" t="s">
        <v>3999</v>
      </c>
    </row>
    <row r="748" spans="1:21">
      <c r="A748" s="2" t="s">
        <v>4000</v>
      </c>
      <c r="B748" s="2" t="s">
        <v>27</v>
      </c>
      <c r="C748" s="2" t="s">
        <v>4001</v>
      </c>
      <c r="D748" s="2" t="s">
        <v>4002</v>
      </c>
      <c r="E748" s="2" t="s">
        <v>4003</v>
      </c>
      <c r="F748" s="2" t="s">
        <v>4004</v>
      </c>
      <c r="G748" s="2" t="s">
        <v>4005</v>
      </c>
      <c r="H748" s="2" t="s">
        <v>3998</v>
      </c>
      <c r="I748" s="2" t="s">
        <v>0</v>
      </c>
      <c r="J748" s="2" t="s">
        <v>0</v>
      </c>
      <c r="K748" s="2" t="s">
        <v>0</v>
      </c>
      <c r="L748" s="2" t="s">
        <v>0</v>
      </c>
      <c r="M748" s="2" t="s">
        <v>0</v>
      </c>
      <c r="N748" s="2" t="s">
        <v>0</v>
      </c>
      <c r="O748" s="2" t="s">
        <v>82</v>
      </c>
      <c r="P748" s="2" t="s">
        <v>33</v>
      </c>
      <c r="Q748" s="2" t="s">
        <v>198</v>
      </c>
      <c r="R748" s="2" t="s">
        <v>34</v>
      </c>
      <c r="S748" s="2" t="s">
        <v>84</v>
      </c>
      <c r="T748" s="2" t="s">
        <v>35</v>
      </c>
      <c r="U748" s="2" t="s">
        <v>0</v>
      </c>
    </row>
    <row r="749" spans="1:21">
      <c r="A749" s="2" t="s">
        <v>4006</v>
      </c>
      <c r="B749" s="2" t="s">
        <v>3</v>
      </c>
      <c r="C749" s="2" t="s">
        <v>4007</v>
      </c>
      <c r="D749" s="2" t="s">
        <v>4008</v>
      </c>
      <c r="E749" s="2" t="s">
        <v>4009</v>
      </c>
      <c r="F749" s="2" t="s">
        <v>220</v>
      </c>
      <c r="G749" s="2" t="s">
        <v>2137</v>
      </c>
      <c r="H749" s="2" t="s">
        <v>4010</v>
      </c>
      <c r="I749" s="2" t="s">
        <v>0</v>
      </c>
      <c r="J749" s="2" t="s">
        <v>4011</v>
      </c>
      <c r="K749" s="2" t="s">
        <v>0</v>
      </c>
      <c r="L749" s="2" t="s">
        <v>0</v>
      </c>
      <c r="M749" s="2" t="s">
        <v>0</v>
      </c>
      <c r="N749" s="2" t="s">
        <v>510</v>
      </c>
      <c r="O749" s="2" t="s">
        <v>82</v>
      </c>
      <c r="P749" s="2" t="s">
        <v>33</v>
      </c>
      <c r="Q749" s="2" t="s">
        <v>4012</v>
      </c>
      <c r="R749" s="2" t="s">
        <v>34</v>
      </c>
      <c r="S749" s="2" t="s">
        <v>84</v>
      </c>
      <c r="T749" s="2" t="s">
        <v>18</v>
      </c>
      <c r="U749" s="2" t="s">
        <v>0</v>
      </c>
    </row>
    <row r="750" spans="1:21">
      <c r="A750" s="2" t="s">
        <v>4013</v>
      </c>
      <c r="B750" s="2" t="s">
        <v>27</v>
      </c>
      <c r="C750" s="2" t="s">
        <v>1012</v>
      </c>
      <c r="D750" s="2" t="s">
        <v>4014</v>
      </c>
      <c r="E750" s="2" t="s">
        <v>4015</v>
      </c>
      <c r="F750" s="2" t="s">
        <v>3858</v>
      </c>
      <c r="G750" s="2" t="s">
        <v>3859</v>
      </c>
      <c r="H750" s="2" t="s">
        <v>4016</v>
      </c>
      <c r="I750" s="2" t="s">
        <v>0</v>
      </c>
      <c r="J750" s="2" t="s">
        <v>4017</v>
      </c>
      <c r="K750" s="2" t="s">
        <v>0</v>
      </c>
      <c r="L750" s="2" t="s">
        <v>3983</v>
      </c>
      <c r="M750" s="2" t="s">
        <v>3853</v>
      </c>
      <c r="N750" s="2" t="s">
        <v>0</v>
      </c>
      <c r="O750" s="2" t="s">
        <v>13</v>
      </c>
      <c r="P750" s="2" t="s">
        <v>33</v>
      </c>
      <c r="Q750" s="2" t="s">
        <v>214</v>
      </c>
      <c r="R750" s="2" t="s">
        <v>34</v>
      </c>
      <c r="S750" s="2" t="s">
        <v>84</v>
      </c>
      <c r="T750" s="2" t="s">
        <v>35</v>
      </c>
      <c r="U750" s="2" t="s">
        <v>4018</v>
      </c>
    </row>
    <row r="751" spans="1:21">
      <c r="A751" s="2" t="s">
        <v>4019</v>
      </c>
      <c r="B751" s="2" t="s">
        <v>27</v>
      </c>
      <c r="C751" s="2" t="s">
        <v>4020</v>
      </c>
      <c r="D751" s="2" t="s">
        <v>4021</v>
      </c>
      <c r="E751" s="2" t="s">
        <v>4022</v>
      </c>
      <c r="F751" s="2" t="s">
        <v>3858</v>
      </c>
      <c r="G751" s="2" t="s">
        <v>3859</v>
      </c>
      <c r="H751" s="2" t="s">
        <v>4016</v>
      </c>
      <c r="I751" s="2" t="s">
        <v>0</v>
      </c>
      <c r="J751" s="2" t="s">
        <v>4017</v>
      </c>
      <c r="K751" s="2" t="s">
        <v>0</v>
      </c>
      <c r="L751" s="2" t="s">
        <v>3983</v>
      </c>
      <c r="M751" s="2" t="s">
        <v>3853</v>
      </c>
      <c r="N751" s="2" t="s">
        <v>0</v>
      </c>
      <c r="O751" s="2" t="s">
        <v>13</v>
      </c>
      <c r="P751" s="2" t="s">
        <v>33</v>
      </c>
      <c r="Q751" s="2" t="s">
        <v>214</v>
      </c>
      <c r="R751" s="2" t="s">
        <v>34</v>
      </c>
      <c r="S751" s="2" t="s">
        <v>84</v>
      </c>
      <c r="T751" s="2" t="s">
        <v>35</v>
      </c>
      <c r="U751" s="2" t="s">
        <v>4023</v>
      </c>
    </row>
    <row r="752" spans="1:21">
      <c r="A752" s="2" t="s">
        <v>4024</v>
      </c>
      <c r="B752" s="2" t="s">
        <v>27</v>
      </c>
      <c r="C752" s="2" t="s">
        <v>4025</v>
      </c>
      <c r="D752" s="2" t="s">
        <v>4026</v>
      </c>
      <c r="E752" s="2" t="s">
        <v>4027</v>
      </c>
      <c r="F752" s="2" t="s">
        <v>595</v>
      </c>
      <c r="G752" s="2" t="s">
        <v>596</v>
      </c>
      <c r="H752" s="2" t="s">
        <v>4016</v>
      </c>
      <c r="I752" s="2" t="s">
        <v>0</v>
      </c>
      <c r="J752" s="2" t="s">
        <v>4017</v>
      </c>
      <c r="K752" s="2" t="s">
        <v>0</v>
      </c>
      <c r="L752" s="2" t="s">
        <v>3983</v>
      </c>
      <c r="M752" s="2" t="s">
        <v>3853</v>
      </c>
      <c r="N752" s="2" t="s">
        <v>0</v>
      </c>
      <c r="O752" s="2" t="s">
        <v>13</v>
      </c>
      <c r="P752" s="2" t="s">
        <v>33</v>
      </c>
      <c r="Q752" s="2" t="s">
        <v>214</v>
      </c>
      <c r="R752" s="2" t="s">
        <v>34</v>
      </c>
      <c r="S752" s="2" t="s">
        <v>84</v>
      </c>
      <c r="T752" s="2" t="s">
        <v>35</v>
      </c>
      <c r="U752" s="2" t="s">
        <v>0</v>
      </c>
    </row>
    <row r="753" spans="1:21">
      <c r="A753" s="2" t="s">
        <v>4028</v>
      </c>
      <c r="B753" s="2" t="s">
        <v>3</v>
      </c>
      <c r="C753" s="2" t="s">
        <v>4029</v>
      </c>
      <c r="D753" s="2" t="s">
        <v>4030</v>
      </c>
      <c r="E753" s="2" t="s">
        <v>4031</v>
      </c>
      <c r="F753" s="2" t="s">
        <v>595</v>
      </c>
      <c r="G753" s="2" t="s">
        <v>596</v>
      </c>
      <c r="H753" s="2" t="s">
        <v>4016</v>
      </c>
      <c r="I753" s="2" t="s">
        <v>0</v>
      </c>
      <c r="J753" s="2" t="s">
        <v>4017</v>
      </c>
      <c r="K753" s="2" t="s">
        <v>0</v>
      </c>
      <c r="L753" s="2" t="s">
        <v>3983</v>
      </c>
      <c r="M753" s="2" t="s">
        <v>3853</v>
      </c>
      <c r="N753" s="2" t="s">
        <v>0</v>
      </c>
      <c r="O753" s="2" t="s">
        <v>13</v>
      </c>
      <c r="P753" s="2" t="s">
        <v>33</v>
      </c>
      <c r="Q753" s="2" t="s">
        <v>214</v>
      </c>
      <c r="R753" s="2" t="s">
        <v>34</v>
      </c>
      <c r="S753" s="2" t="s">
        <v>84</v>
      </c>
      <c r="T753" s="2" t="s">
        <v>18</v>
      </c>
      <c r="U753" s="2" t="s">
        <v>0</v>
      </c>
    </row>
    <row r="754" spans="1:21">
      <c r="A754" s="2" t="s">
        <v>4032</v>
      </c>
      <c r="B754" s="2" t="s">
        <v>3</v>
      </c>
      <c r="C754" s="2" t="s">
        <v>4033</v>
      </c>
      <c r="D754" s="2" t="s">
        <v>247</v>
      </c>
      <c r="E754" s="2" t="s">
        <v>4034</v>
      </c>
      <c r="F754" s="2" t="s">
        <v>4035</v>
      </c>
      <c r="G754" s="2" t="s">
        <v>4036</v>
      </c>
      <c r="H754" s="2" t="s">
        <v>4016</v>
      </c>
      <c r="I754" s="2" t="s">
        <v>0</v>
      </c>
      <c r="J754" s="2" t="s">
        <v>4017</v>
      </c>
      <c r="K754" s="2" t="s">
        <v>0</v>
      </c>
      <c r="L754" s="2" t="s">
        <v>3983</v>
      </c>
      <c r="M754" s="2" t="s">
        <v>3853</v>
      </c>
      <c r="N754" s="2" t="s">
        <v>0</v>
      </c>
      <c r="O754" s="2" t="s">
        <v>13</v>
      </c>
      <c r="P754" s="2" t="s">
        <v>33</v>
      </c>
      <c r="Q754" s="2" t="s">
        <v>214</v>
      </c>
      <c r="R754" s="2" t="s">
        <v>34</v>
      </c>
      <c r="S754" s="2" t="s">
        <v>205</v>
      </c>
      <c r="T754" s="2" t="s">
        <v>18</v>
      </c>
      <c r="U754" s="2" t="s">
        <v>0</v>
      </c>
    </row>
    <row r="755" spans="1:21">
      <c r="A755" s="2" t="s">
        <v>4037</v>
      </c>
      <c r="B755" s="2" t="s">
        <v>3</v>
      </c>
      <c r="C755" s="2" t="s">
        <v>4038</v>
      </c>
      <c r="D755" s="2" t="s">
        <v>668</v>
      </c>
      <c r="E755" s="2" t="s">
        <v>4039</v>
      </c>
      <c r="F755" s="2" t="s">
        <v>595</v>
      </c>
      <c r="G755" s="2" t="s">
        <v>596</v>
      </c>
      <c r="H755" s="2" t="s">
        <v>4040</v>
      </c>
      <c r="I755" s="2" t="s">
        <v>0</v>
      </c>
      <c r="J755" s="2" t="s">
        <v>4041</v>
      </c>
      <c r="K755" s="2" t="s">
        <v>0</v>
      </c>
      <c r="L755" s="2" t="s">
        <v>3901</v>
      </c>
      <c r="M755" s="2" t="s">
        <v>3853</v>
      </c>
      <c r="N755" s="2" t="s">
        <v>0</v>
      </c>
      <c r="O755" s="2" t="s">
        <v>13</v>
      </c>
      <c r="P755" s="2" t="s">
        <v>33</v>
      </c>
      <c r="Q755" s="2" t="s">
        <v>214</v>
      </c>
      <c r="R755" s="2" t="s">
        <v>34</v>
      </c>
      <c r="S755" s="2" t="s">
        <v>84</v>
      </c>
      <c r="T755" s="2" t="s">
        <v>18</v>
      </c>
      <c r="U755" s="2" t="s">
        <v>0</v>
      </c>
    </row>
    <row r="756" spans="1:21">
      <c r="A756" s="2" t="s">
        <v>4042</v>
      </c>
      <c r="B756" s="2" t="s">
        <v>27</v>
      </c>
      <c r="C756" s="2" t="s">
        <v>4043</v>
      </c>
      <c r="D756" s="2" t="s">
        <v>4044</v>
      </c>
      <c r="E756" s="2" t="s">
        <v>4045</v>
      </c>
      <c r="F756" s="2" t="s">
        <v>595</v>
      </c>
      <c r="G756" s="2" t="s">
        <v>596</v>
      </c>
      <c r="H756" s="2" t="s">
        <v>4040</v>
      </c>
      <c r="I756" s="2" t="s">
        <v>0</v>
      </c>
      <c r="J756" s="2" t="s">
        <v>4041</v>
      </c>
      <c r="K756" s="2" t="s">
        <v>0</v>
      </c>
      <c r="L756" s="2" t="s">
        <v>3901</v>
      </c>
      <c r="M756" s="2" t="s">
        <v>3853</v>
      </c>
      <c r="N756" s="2" t="s">
        <v>0</v>
      </c>
      <c r="O756" s="2" t="s">
        <v>13</v>
      </c>
      <c r="P756" s="2" t="s">
        <v>33</v>
      </c>
      <c r="Q756" s="2" t="s">
        <v>214</v>
      </c>
      <c r="R756" s="2" t="s">
        <v>34</v>
      </c>
      <c r="S756" s="2" t="s">
        <v>84</v>
      </c>
      <c r="T756" s="2" t="s">
        <v>35</v>
      </c>
      <c r="U756" s="2" t="s">
        <v>4046</v>
      </c>
    </row>
    <row r="757" spans="1:21">
      <c r="A757" s="2" t="s">
        <v>4047</v>
      </c>
      <c r="B757" s="2" t="s">
        <v>27</v>
      </c>
      <c r="C757" s="2" t="s">
        <v>4048</v>
      </c>
      <c r="D757" s="2" t="s">
        <v>4049</v>
      </c>
      <c r="E757" s="2" t="s">
        <v>4050</v>
      </c>
      <c r="F757" s="2" t="s">
        <v>4051</v>
      </c>
      <c r="G757" s="2" t="s">
        <v>4052</v>
      </c>
      <c r="H757" s="2" t="s">
        <v>4040</v>
      </c>
      <c r="I757" s="2" t="s">
        <v>0</v>
      </c>
      <c r="J757" s="2" t="s">
        <v>4041</v>
      </c>
      <c r="K757" s="2" t="s">
        <v>0</v>
      </c>
      <c r="L757" s="2" t="s">
        <v>3901</v>
      </c>
      <c r="M757" s="2" t="s">
        <v>3853</v>
      </c>
      <c r="N757" s="2" t="s">
        <v>0</v>
      </c>
      <c r="O757" s="2" t="s">
        <v>13</v>
      </c>
      <c r="P757" s="2" t="s">
        <v>33</v>
      </c>
      <c r="Q757" s="2" t="s">
        <v>214</v>
      </c>
      <c r="R757" s="2" t="s">
        <v>34</v>
      </c>
      <c r="S757" s="2" t="s">
        <v>84</v>
      </c>
      <c r="T757" s="2" t="s">
        <v>35</v>
      </c>
      <c r="U757" s="2" t="s">
        <v>4053</v>
      </c>
    </row>
    <row r="758" spans="1:21">
      <c r="A758" s="2" t="s">
        <v>4054</v>
      </c>
      <c r="B758" s="2" t="s">
        <v>27</v>
      </c>
      <c r="C758" s="2" t="s">
        <v>2949</v>
      </c>
      <c r="D758" s="2" t="s">
        <v>4055</v>
      </c>
      <c r="E758" s="2" t="s">
        <v>4056</v>
      </c>
      <c r="F758" s="2" t="s">
        <v>3858</v>
      </c>
      <c r="G758" s="2" t="s">
        <v>3859</v>
      </c>
      <c r="H758" s="2" t="s">
        <v>4057</v>
      </c>
      <c r="I758" s="2" t="s">
        <v>0</v>
      </c>
      <c r="J758" s="2" t="s">
        <v>0</v>
      </c>
      <c r="K758" s="2" t="s">
        <v>0</v>
      </c>
      <c r="L758" s="2" t="s">
        <v>0</v>
      </c>
      <c r="M758" s="2" t="s">
        <v>3853</v>
      </c>
      <c r="N758" s="2" t="s">
        <v>0</v>
      </c>
      <c r="O758" s="2" t="s">
        <v>82</v>
      </c>
      <c r="P758" s="2" t="s">
        <v>33</v>
      </c>
      <c r="Q758" s="2" t="s">
        <v>83</v>
      </c>
      <c r="R758" s="2" t="s">
        <v>34</v>
      </c>
      <c r="S758" s="2" t="s">
        <v>84</v>
      </c>
      <c r="T758" s="2" t="s">
        <v>35</v>
      </c>
      <c r="U758" s="2" t="s">
        <v>4058</v>
      </c>
    </row>
    <row r="759" spans="1:21">
      <c r="A759" s="2" t="s">
        <v>4059</v>
      </c>
      <c r="B759" s="2" t="s">
        <v>27</v>
      </c>
      <c r="C759" s="2" t="s">
        <v>4060</v>
      </c>
      <c r="D759" s="2" t="s">
        <v>4061</v>
      </c>
      <c r="E759" s="2" t="s">
        <v>4062</v>
      </c>
      <c r="F759" s="2" t="s">
        <v>4063</v>
      </c>
      <c r="G759" s="2" t="s">
        <v>4064</v>
      </c>
      <c r="H759" s="2" t="s">
        <v>4057</v>
      </c>
      <c r="I759" s="2" t="s">
        <v>0</v>
      </c>
      <c r="J759" s="2" t="s">
        <v>0</v>
      </c>
      <c r="K759" s="2" t="s">
        <v>0</v>
      </c>
      <c r="L759" s="2" t="s">
        <v>0</v>
      </c>
      <c r="M759" s="2" t="s">
        <v>3853</v>
      </c>
      <c r="N759" s="2" t="s">
        <v>0</v>
      </c>
      <c r="O759" s="2" t="s">
        <v>82</v>
      </c>
      <c r="P759" s="2" t="s">
        <v>33</v>
      </c>
      <c r="Q759" s="2" t="s">
        <v>214</v>
      </c>
      <c r="R759" s="2" t="s">
        <v>34</v>
      </c>
      <c r="S759" s="2" t="s">
        <v>84</v>
      </c>
      <c r="T759" s="2" t="s">
        <v>35</v>
      </c>
      <c r="U759" s="2" t="s">
        <v>4065</v>
      </c>
    </row>
    <row r="760" spans="1:21">
      <c r="A760" s="2" t="s">
        <v>4066</v>
      </c>
      <c r="B760" s="2" t="s">
        <v>3</v>
      </c>
      <c r="C760" s="2" t="s">
        <v>4067</v>
      </c>
      <c r="D760" s="2" t="s">
        <v>4068</v>
      </c>
      <c r="E760" s="2" t="s">
        <v>4069</v>
      </c>
      <c r="F760" s="2" t="s">
        <v>203</v>
      </c>
      <c r="G760" s="2" t="s">
        <v>204</v>
      </c>
      <c r="H760" s="2" t="s">
        <v>4057</v>
      </c>
      <c r="I760" s="2" t="s">
        <v>0</v>
      </c>
      <c r="J760" s="2" t="s">
        <v>0</v>
      </c>
      <c r="K760" s="2" t="s">
        <v>0</v>
      </c>
      <c r="L760" s="2" t="s">
        <v>0</v>
      </c>
      <c r="M760" s="2" t="s">
        <v>3853</v>
      </c>
      <c r="N760" s="2" t="s">
        <v>0</v>
      </c>
      <c r="O760" s="2" t="s">
        <v>82</v>
      </c>
      <c r="P760" s="2" t="s">
        <v>33</v>
      </c>
      <c r="Q760" s="2" t="s">
        <v>214</v>
      </c>
      <c r="R760" s="2" t="s">
        <v>34</v>
      </c>
      <c r="S760" s="2" t="s">
        <v>84</v>
      </c>
      <c r="T760" s="2" t="s">
        <v>18</v>
      </c>
      <c r="U760" s="2" t="s">
        <v>4070</v>
      </c>
    </row>
    <row r="761" spans="1:21">
      <c r="A761" s="2" t="s">
        <v>4071</v>
      </c>
      <c r="B761" s="2" t="s">
        <v>46</v>
      </c>
      <c r="C761" s="2" t="s">
        <v>4072</v>
      </c>
      <c r="D761" s="2" t="s">
        <v>4073</v>
      </c>
      <c r="E761" s="2" t="s">
        <v>4074</v>
      </c>
      <c r="F761" s="2" t="s">
        <v>4075</v>
      </c>
      <c r="G761" s="2" t="s">
        <v>4076</v>
      </c>
      <c r="H761" s="2" t="s">
        <v>4077</v>
      </c>
      <c r="I761" s="2" t="s">
        <v>0</v>
      </c>
      <c r="J761" s="2" t="s">
        <v>0</v>
      </c>
      <c r="K761" s="2" t="s">
        <v>4078</v>
      </c>
      <c r="L761" s="2" t="s">
        <v>0</v>
      </c>
      <c r="M761" s="2" t="s">
        <v>3853</v>
      </c>
      <c r="N761" s="2" t="s">
        <v>0</v>
      </c>
      <c r="O761" s="2" t="s">
        <v>82</v>
      </c>
      <c r="P761" s="2" t="s">
        <v>33</v>
      </c>
      <c r="Q761" s="2" t="s">
        <v>83</v>
      </c>
      <c r="R761" s="2" t="s">
        <v>34</v>
      </c>
      <c r="S761" s="2" t="s">
        <v>84</v>
      </c>
      <c r="T761" s="2" t="s">
        <v>18</v>
      </c>
      <c r="U761" s="2" t="s">
        <v>0</v>
      </c>
    </row>
    <row r="762" spans="1:21">
      <c r="A762" s="2" t="s">
        <v>4079</v>
      </c>
      <c r="B762" s="2" t="s">
        <v>3</v>
      </c>
      <c r="C762" s="2" t="s">
        <v>4080</v>
      </c>
      <c r="D762" s="2" t="s">
        <v>4081</v>
      </c>
      <c r="E762" s="2" t="s">
        <v>4082</v>
      </c>
      <c r="F762" s="2" t="s">
        <v>7</v>
      </c>
      <c r="G762" s="2" t="s">
        <v>8</v>
      </c>
      <c r="H762" s="2" t="s">
        <v>4077</v>
      </c>
      <c r="I762" s="2" t="s">
        <v>0</v>
      </c>
      <c r="J762" s="2" t="s">
        <v>0</v>
      </c>
      <c r="K762" s="2" t="s">
        <v>4078</v>
      </c>
      <c r="L762" s="2" t="s">
        <v>0</v>
      </c>
      <c r="M762" s="2" t="s">
        <v>3853</v>
      </c>
      <c r="N762" s="2" t="s">
        <v>0</v>
      </c>
      <c r="O762" s="2" t="s">
        <v>82</v>
      </c>
      <c r="P762" s="2" t="s">
        <v>33</v>
      </c>
      <c r="Q762" s="2" t="s">
        <v>83</v>
      </c>
      <c r="R762" s="2" t="s">
        <v>34</v>
      </c>
      <c r="S762" s="2" t="s">
        <v>84</v>
      </c>
      <c r="T762" s="2" t="s">
        <v>18</v>
      </c>
      <c r="U762" s="2" t="s">
        <v>0</v>
      </c>
    </row>
    <row r="763" spans="1:21">
      <c r="A763" s="2" t="s">
        <v>4083</v>
      </c>
      <c r="B763" s="2" t="s">
        <v>27</v>
      </c>
      <c r="C763" s="2" t="s">
        <v>2399</v>
      </c>
      <c r="D763" s="2" t="s">
        <v>4084</v>
      </c>
      <c r="E763" s="2" t="s">
        <v>4085</v>
      </c>
      <c r="F763" s="2" t="s">
        <v>4086</v>
      </c>
      <c r="G763" s="2" t="s">
        <v>4087</v>
      </c>
      <c r="H763" s="2" t="s">
        <v>4077</v>
      </c>
      <c r="I763" s="2" t="s">
        <v>0</v>
      </c>
      <c r="J763" s="2" t="s">
        <v>0</v>
      </c>
      <c r="K763" s="2" t="s">
        <v>4078</v>
      </c>
      <c r="L763" s="2" t="s">
        <v>0</v>
      </c>
      <c r="M763" s="2" t="s">
        <v>3853</v>
      </c>
      <c r="N763" s="2" t="s">
        <v>0</v>
      </c>
      <c r="O763" s="2" t="s">
        <v>82</v>
      </c>
      <c r="P763" s="2" t="s">
        <v>33</v>
      </c>
      <c r="Q763" s="2" t="s">
        <v>83</v>
      </c>
      <c r="R763" s="2" t="s">
        <v>34</v>
      </c>
      <c r="S763" s="2" t="s">
        <v>84</v>
      </c>
      <c r="T763" s="2" t="s">
        <v>35</v>
      </c>
      <c r="U763" s="2" t="s">
        <v>4088</v>
      </c>
    </row>
    <row r="764" spans="1:21">
      <c r="A764" s="2" t="s">
        <v>4089</v>
      </c>
      <c r="B764" s="2" t="s">
        <v>27</v>
      </c>
      <c r="C764" s="2" t="s">
        <v>4090</v>
      </c>
      <c r="D764" s="2" t="s">
        <v>4091</v>
      </c>
      <c r="E764" s="2" t="s">
        <v>4092</v>
      </c>
      <c r="F764" s="2" t="s">
        <v>4093</v>
      </c>
      <c r="G764" s="2" t="s">
        <v>4094</v>
      </c>
      <c r="H764" s="2" t="s">
        <v>4077</v>
      </c>
      <c r="I764" s="2" t="s">
        <v>0</v>
      </c>
      <c r="J764" s="2" t="s">
        <v>0</v>
      </c>
      <c r="K764" s="2" t="s">
        <v>4078</v>
      </c>
      <c r="L764" s="2" t="s">
        <v>0</v>
      </c>
      <c r="M764" s="2" t="s">
        <v>3853</v>
      </c>
      <c r="N764" s="2" t="s">
        <v>0</v>
      </c>
      <c r="O764" s="2" t="s">
        <v>82</v>
      </c>
      <c r="P764" s="2" t="s">
        <v>33</v>
      </c>
      <c r="Q764" s="2" t="s">
        <v>83</v>
      </c>
      <c r="R764" s="2" t="s">
        <v>34</v>
      </c>
      <c r="S764" s="2" t="s">
        <v>84</v>
      </c>
      <c r="T764" s="2" t="s">
        <v>35</v>
      </c>
      <c r="U764" s="2" t="s">
        <v>4095</v>
      </c>
    </row>
    <row r="765" spans="1:21">
      <c r="A765" s="2" t="s">
        <v>4096</v>
      </c>
      <c r="B765" s="2" t="s">
        <v>3</v>
      </c>
      <c r="C765" s="2" t="s">
        <v>4097</v>
      </c>
      <c r="D765" s="2" t="s">
        <v>4098</v>
      </c>
      <c r="E765" s="2" t="s">
        <v>4099</v>
      </c>
      <c r="F765" s="2" t="s">
        <v>4075</v>
      </c>
      <c r="G765" s="2" t="s">
        <v>4076</v>
      </c>
      <c r="H765" s="2" t="s">
        <v>4077</v>
      </c>
      <c r="I765" s="2" t="s">
        <v>0</v>
      </c>
      <c r="J765" s="2" t="s">
        <v>0</v>
      </c>
      <c r="K765" s="2" t="s">
        <v>4078</v>
      </c>
      <c r="L765" s="2" t="s">
        <v>0</v>
      </c>
      <c r="M765" s="2" t="s">
        <v>3853</v>
      </c>
      <c r="N765" s="2" t="s">
        <v>0</v>
      </c>
      <c r="O765" s="2" t="s">
        <v>82</v>
      </c>
      <c r="P765" s="2" t="s">
        <v>33</v>
      </c>
      <c r="Q765" s="2" t="s">
        <v>83</v>
      </c>
      <c r="R765" s="2" t="s">
        <v>34</v>
      </c>
      <c r="S765" s="2" t="s">
        <v>84</v>
      </c>
      <c r="T765" s="2" t="s">
        <v>18</v>
      </c>
      <c r="U765" s="2" t="s">
        <v>0</v>
      </c>
    </row>
    <row r="766" spans="1:21">
      <c r="A766" s="2" t="s">
        <v>4100</v>
      </c>
      <c r="B766" s="2" t="s">
        <v>27</v>
      </c>
      <c r="C766" s="2" t="s">
        <v>4101</v>
      </c>
      <c r="D766" s="2" t="s">
        <v>4102</v>
      </c>
      <c r="E766" s="2" t="s">
        <v>4103</v>
      </c>
      <c r="F766" s="2" t="s">
        <v>4075</v>
      </c>
      <c r="G766" s="2" t="s">
        <v>4076</v>
      </c>
      <c r="H766" s="2" t="s">
        <v>4077</v>
      </c>
      <c r="I766" s="2" t="s">
        <v>0</v>
      </c>
      <c r="J766" s="2" t="s">
        <v>0</v>
      </c>
      <c r="K766" s="2" t="s">
        <v>4078</v>
      </c>
      <c r="L766" s="2" t="s">
        <v>0</v>
      </c>
      <c r="M766" s="2" t="s">
        <v>3853</v>
      </c>
      <c r="N766" s="2" t="s">
        <v>0</v>
      </c>
      <c r="O766" s="2" t="s">
        <v>82</v>
      </c>
      <c r="P766" s="2" t="s">
        <v>33</v>
      </c>
      <c r="Q766" s="2" t="s">
        <v>83</v>
      </c>
      <c r="R766" s="2" t="s">
        <v>34</v>
      </c>
      <c r="S766" s="2" t="s">
        <v>84</v>
      </c>
      <c r="T766" s="2" t="s">
        <v>35</v>
      </c>
      <c r="U766" s="2" t="s">
        <v>4104</v>
      </c>
    </row>
    <row r="767" spans="1:21">
      <c r="A767" s="2" t="s">
        <v>4105</v>
      </c>
      <c r="B767" s="2" t="s">
        <v>3</v>
      </c>
      <c r="C767" s="2" t="s">
        <v>4106</v>
      </c>
      <c r="D767" s="2" t="s">
        <v>4107</v>
      </c>
      <c r="E767" s="2" t="s">
        <v>4108</v>
      </c>
      <c r="F767" s="2" t="s">
        <v>4075</v>
      </c>
      <c r="G767" s="2" t="s">
        <v>4076</v>
      </c>
      <c r="H767" s="2" t="s">
        <v>4077</v>
      </c>
      <c r="I767" s="2" t="s">
        <v>0</v>
      </c>
      <c r="J767" s="2" t="s">
        <v>0</v>
      </c>
      <c r="K767" s="2" t="s">
        <v>4078</v>
      </c>
      <c r="L767" s="2" t="s">
        <v>0</v>
      </c>
      <c r="M767" s="2" t="s">
        <v>3853</v>
      </c>
      <c r="N767" s="2" t="s">
        <v>0</v>
      </c>
      <c r="O767" s="2" t="s">
        <v>82</v>
      </c>
      <c r="P767" s="2" t="s">
        <v>33</v>
      </c>
      <c r="Q767" s="2" t="s">
        <v>83</v>
      </c>
      <c r="R767" s="2" t="s">
        <v>34</v>
      </c>
      <c r="S767" s="2" t="s">
        <v>84</v>
      </c>
      <c r="T767" s="2" t="s">
        <v>18</v>
      </c>
      <c r="U767" s="2" t="s">
        <v>0</v>
      </c>
    </row>
    <row r="768" spans="1:21">
      <c r="A768" s="2" t="s">
        <v>4109</v>
      </c>
      <c r="B768" s="2" t="s">
        <v>3</v>
      </c>
      <c r="C768" s="2" t="s">
        <v>4110</v>
      </c>
      <c r="D768" s="2" t="s">
        <v>4111</v>
      </c>
      <c r="E768" s="2" t="s">
        <v>4112</v>
      </c>
      <c r="F768" s="2" t="s">
        <v>4075</v>
      </c>
      <c r="G768" s="2" t="s">
        <v>4076</v>
      </c>
      <c r="H768" s="2" t="s">
        <v>4077</v>
      </c>
      <c r="I768" s="2" t="s">
        <v>0</v>
      </c>
      <c r="J768" s="2" t="s">
        <v>0</v>
      </c>
      <c r="K768" s="2" t="s">
        <v>4078</v>
      </c>
      <c r="L768" s="2" t="s">
        <v>0</v>
      </c>
      <c r="M768" s="2" t="s">
        <v>3853</v>
      </c>
      <c r="N768" s="2" t="s">
        <v>0</v>
      </c>
      <c r="O768" s="2" t="s">
        <v>82</v>
      </c>
      <c r="P768" s="2" t="s">
        <v>33</v>
      </c>
      <c r="Q768" s="2" t="s">
        <v>83</v>
      </c>
      <c r="R768" s="2" t="s">
        <v>34</v>
      </c>
      <c r="S768" s="2" t="s">
        <v>84</v>
      </c>
      <c r="T768" s="2" t="s">
        <v>18</v>
      </c>
      <c r="U768" s="2" t="s">
        <v>0</v>
      </c>
    </row>
    <row r="769" spans="1:21">
      <c r="A769" s="2" t="s">
        <v>4113</v>
      </c>
      <c r="B769" s="2" t="s">
        <v>27</v>
      </c>
      <c r="C769" s="2" t="s">
        <v>4114</v>
      </c>
      <c r="D769" s="2" t="s">
        <v>3523</v>
      </c>
      <c r="E769" s="2" t="s">
        <v>4115</v>
      </c>
      <c r="F769" s="2" t="s">
        <v>4116</v>
      </c>
      <c r="G769" s="2" t="s">
        <v>4117</v>
      </c>
      <c r="H769" s="2" t="s">
        <v>4077</v>
      </c>
      <c r="I769" s="2" t="s">
        <v>0</v>
      </c>
      <c r="J769" s="2" t="s">
        <v>0</v>
      </c>
      <c r="K769" s="2" t="s">
        <v>4078</v>
      </c>
      <c r="L769" s="2" t="s">
        <v>0</v>
      </c>
      <c r="M769" s="2" t="s">
        <v>3853</v>
      </c>
      <c r="N769" s="2" t="s">
        <v>0</v>
      </c>
      <c r="O769" s="2" t="s">
        <v>82</v>
      </c>
      <c r="P769" s="2" t="s">
        <v>149</v>
      </c>
      <c r="Q769" s="2" t="s">
        <v>1018</v>
      </c>
      <c r="R769" s="2" t="s">
        <v>1019</v>
      </c>
      <c r="S769" s="2" t="s">
        <v>17</v>
      </c>
      <c r="T769" s="2" t="s">
        <v>35</v>
      </c>
      <c r="U769" s="2" t="s">
        <v>4118</v>
      </c>
    </row>
    <row r="770" spans="1:21">
      <c r="A770" s="2" t="s">
        <v>4119</v>
      </c>
      <c r="B770" s="2" t="s">
        <v>27</v>
      </c>
      <c r="C770" s="2" t="s">
        <v>2372</v>
      </c>
      <c r="D770" s="2" t="s">
        <v>4120</v>
      </c>
      <c r="E770" s="2" t="s">
        <v>4121</v>
      </c>
      <c r="F770" s="2" t="s">
        <v>4075</v>
      </c>
      <c r="G770" s="2" t="s">
        <v>4076</v>
      </c>
      <c r="H770" s="2" t="s">
        <v>4077</v>
      </c>
      <c r="I770" s="2" t="s">
        <v>0</v>
      </c>
      <c r="J770" s="2" t="s">
        <v>0</v>
      </c>
      <c r="K770" s="2" t="s">
        <v>4078</v>
      </c>
      <c r="L770" s="2" t="s">
        <v>0</v>
      </c>
      <c r="M770" s="2" t="s">
        <v>3853</v>
      </c>
      <c r="N770" s="2" t="s">
        <v>0</v>
      </c>
      <c r="O770" s="2" t="s">
        <v>82</v>
      </c>
      <c r="P770" s="2" t="s">
        <v>14</v>
      </c>
      <c r="Q770" s="2" t="s">
        <v>52</v>
      </c>
      <c r="R770" s="2" t="s">
        <v>16</v>
      </c>
      <c r="S770" s="2" t="s">
        <v>17</v>
      </c>
      <c r="T770" s="2" t="s">
        <v>35</v>
      </c>
      <c r="U770" s="2" t="s">
        <v>0</v>
      </c>
    </row>
    <row r="771" spans="1:21">
      <c r="A771" s="2" t="s">
        <v>4122</v>
      </c>
      <c r="B771" s="2" t="s">
        <v>3</v>
      </c>
      <c r="C771" s="2" t="s">
        <v>4123</v>
      </c>
      <c r="D771" s="2" t="s">
        <v>4124</v>
      </c>
      <c r="E771" s="2" t="s">
        <v>4125</v>
      </c>
      <c r="F771" s="2" t="s">
        <v>4126</v>
      </c>
      <c r="G771" s="2" t="s">
        <v>4127</v>
      </c>
      <c r="H771" s="2" t="s">
        <v>4077</v>
      </c>
      <c r="I771" s="2" t="s">
        <v>0</v>
      </c>
      <c r="J771" s="2" t="s">
        <v>0</v>
      </c>
      <c r="K771" s="2" t="s">
        <v>4078</v>
      </c>
      <c r="L771" s="2" t="s">
        <v>0</v>
      </c>
      <c r="M771" s="2" t="s">
        <v>3853</v>
      </c>
      <c r="N771" s="2" t="s">
        <v>0</v>
      </c>
      <c r="O771" s="2" t="s">
        <v>82</v>
      </c>
      <c r="P771" s="2" t="s">
        <v>14</v>
      </c>
      <c r="Q771" s="2" t="s">
        <v>52</v>
      </c>
      <c r="R771" s="2" t="s">
        <v>53</v>
      </c>
      <c r="S771" s="2" t="s">
        <v>17</v>
      </c>
      <c r="T771" s="2" t="s">
        <v>18</v>
      </c>
      <c r="U771" s="2" t="s">
        <v>4128</v>
      </c>
    </row>
    <row r="772" spans="1:21">
      <c r="A772" s="2" t="s">
        <v>4129</v>
      </c>
      <c r="B772" s="2" t="s">
        <v>27</v>
      </c>
      <c r="C772" s="2" t="s">
        <v>4130</v>
      </c>
      <c r="D772" s="2" t="s">
        <v>4131</v>
      </c>
      <c r="E772" s="2" t="s">
        <v>4132</v>
      </c>
      <c r="F772" s="2" t="s">
        <v>4075</v>
      </c>
      <c r="G772" s="2" t="s">
        <v>4076</v>
      </c>
      <c r="H772" s="2" t="s">
        <v>4077</v>
      </c>
      <c r="I772" s="2" t="s">
        <v>0</v>
      </c>
      <c r="J772" s="2" t="s">
        <v>0</v>
      </c>
      <c r="K772" s="2" t="s">
        <v>4078</v>
      </c>
      <c r="L772" s="2" t="s">
        <v>0</v>
      </c>
      <c r="M772" s="2" t="s">
        <v>3853</v>
      </c>
      <c r="N772" s="2" t="s">
        <v>0</v>
      </c>
      <c r="O772" s="2" t="s">
        <v>82</v>
      </c>
      <c r="P772" s="2" t="s">
        <v>14</v>
      </c>
      <c r="Q772" s="2" t="s">
        <v>52</v>
      </c>
      <c r="R772" s="2" t="s">
        <v>53</v>
      </c>
      <c r="S772" s="2" t="s">
        <v>17</v>
      </c>
      <c r="T772" s="2" t="s">
        <v>35</v>
      </c>
      <c r="U772" s="2" t="s">
        <v>4133</v>
      </c>
    </row>
    <row r="773" spans="1:21">
      <c r="A773" s="2" t="s">
        <v>4134</v>
      </c>
      <c r="B773" s="2" t="s">
        <v>27</v>
      </c>
      <c r="C773" s="2" t="s">
        <v>4135</v>
      </c>
      <c r="D773" s="2" t="s">
        <v>4136</v>
      </c>
      <c r="E773" s="2" t="s">
        <v>4137</v>
      </c>
      <c r="F773" s="2" t="s">
        <v>4138</v>
      </c>
      <c r="G773" s="2" t="s">
        <v>4139</v>
      </c>
      <c r="H773" s="2" t="s">
        <v>4077</v>
      </c>
      <c r="I773" s="2" t="s">
        <v>0</v>
      </c>
      <c r="J773" s="2" t="s">
        <v>0</v>
      </c>
      <c r="K773" s="2" t="s">
        <v>4078</v>
      </c>
      <c r="L773" s="2" t="s">
        <v>0</v>
      </c>
      <c r="M773" s="2" t="s">
        <v>3853</v>
      </c>
      <c r="N773" s="2" t="s">
        <v>0</v>
      </c>
      <c r="O773" s="2" t="s">
        <v>82</v>
      </c>
      <c r="P773" s="2" t="s">
        <v>14</v>
      </c>
      <c r="Q773" s="2" t="s">
        <v>52</v>
      </c>
      <c r="R773" s="2" t="s">
        <v>53</v>
      </c>
      <c r="S773" s="2" t="s">
        <v>17</v>
      </c>
      <c r="T773" s="2" t="s">
        <v>35</v>
      </c>
      <c r="U773" s="2" t="s">
        <v>4140</v>
      </c>
    </row>
    <row r="774" spans="1:21">
      <c r="A774" s="2" t="s">
        <v>4141</v>
      </c>
      <c r="B774" s="2" t="s">
        <v>27</v>
      </c>
      <c r="C774" s="2" t="s">
        <v>2172</v>
      </c>
      <c r="D774" s="2" t="s">
        <v>4142</v>
      </c>
      <c r="E774" s="2" t="s">
        <v>4143</v>
      </c>
      <c r="F774" s="2" t="s">
        <v>4075</v>
      </c>
      <c r="G774" s="2" t="s">
        <v>4076</v>
      </c>
      <c r="H774" s="2" t="s">
        <v>4077</v>
      </c>
      <c r="I774" s="2" t="s">
        <v>0</v>
      </c>
      <c r="J774" s="2" t="s">
        <v>0</v>
      </c>
      <c r="K774" s="2" t="s">
        <v>4078</v>
      </c>
      <c r="L774" s="2" t="s">
        <v>0</v>
      </c>
      <c r="M774" s="2" t="s">
        <v>3853</v>
      </c>
      <c r="N774" s="2" t="s">
        <v>0</v>
      </c>
      <c r="O774" s="2" t="s">
        <v>82</v>
      </c>
      <c r="P774" s="2" t="s">
        <v>14</v>
      </c>
      <c r="Q774" s="2" t="s">
        <v>52</v>
      </c>
      <c r="R774" s="2" t="s">
        <v>53</v>
      </c>
      <c r="S774" s="2" t="s">
        <v>17</v>
      </c>
      <c r="T774" s="2" t="s">
        <v>35</v>
      </c>
      <c r="U774" s="2" t="s">
        <v>4144</v>
      </c>
    </row>
    <row r="775" spans="1:21">
      <c r="A775" s="2" t="s">
        <v>4145</v>
      </c>
      <c r="B775" s="2" t="s">
        <v>27</v>
      </c>
      <c r="C775" s="2" t="s">
        <v>4146</v>
      </c>
      <c r="D775" s="2" t="s">
        <v>4147</v>
      </c>
      <c r="E775" s="2" t="s">
        <v>4148</v>
      </c>
      <c r="F775" s="2" t="s">
        <v>4075</v>
      </c>
      <c r="G775" s="2" t="s">
        <v>4076</v>
      </c>
      <c r="H775" s="2" t="s">
        <v>4077</v>
      </c>
      <c r="I775" s="2" t="s">
        <v>0</v>
      </c>
      <c r="J775" s="2" t="s">
        <v>0</v>
      </c>
      <c r="K775" s="2" t="s">
        <v>4078</v>
      </c>
      <c r="L775" s="2" t="s">
        <v>0</v>
      </c>
      <c r="M775" s="2" t="s">
        <v>3853</v>
      </c>
      <c r="N775" s="2" t="s">
        <v>0</v>
      </c>
      <c r="O775" s="2" t="s">
        <v>82</v>
      </c>
      <c r="P775" s="2" t="s">
        <v>14</v>
      </c>
      <c r="Q775" s="2" t="s">
        <v>52</v>
      </c>
      <c r="R775" s="2" t="s">
        <v>53</v>
      </c>
      <c r="S775" s="2" t="s">
        <v>17</v>
      </c>
      <c r="T775" s="2" t="s">
        <v>35</v>
      </c>
      <c r="U775" s="2" t="s">
        <v>4149</v>
      </c>
    </row>
    <row r="776" spans="1:21">
      <c r="A776" s="2" t="s">
        <v>4150</v>
      </c>
      <c r="B776" s="2" t="s">
        <v>27</v>
      </c>
      <c r="C776" s="2" t="s">
        <v>4151</v>
      </c>
      <c r="D776" s="2" t="s">
        <v>4152</v>
      </c>
      <c r="E776" s="2" t="s">
        <v>4153</v>
      </c>
      <c r="F776" s="2" t="s">
        <v>4075</v>
      </c>
      <c r="G776" s="2" t="s">
        <v>4076</v>
      </c>
      <c r="H776" s="2" t="s">
        <v>4077</v>
      </c>
      <c r="I776" s="2" t="s">
        <v>0</v>
      </c>
      <c r="J776" s="2" t="s">
        <v>0</v>
      </c>
      <c r="K776" s="2" t="s">
        <v>4078</v>
      </c>
      <c r="L776" s="2" t="s">
        <v>0</v>
      </c>
      <c r="M776" s="2" t="s">
        <v>3853</v>
      </c>
      <c r="N776" s="2" t="s">
        <v>0</v>
      </c>
      <c r="O776" s="2" t="s">
        <v>82</v>
      </c>
      <c r="P776" s="2" t="s">
        <v>14</v>
      </c>
      <c r="Q776" s="2" t="s">
        <v>52</v>
      </c>
      <c r="R776" s="2" t="s">
        <v>53</v>
      </c>
      <c r="S776" s="2" t="s">
        <v>17</v>
      </c>
      <c r="T776" s="2" t="s">
        <v>35</v>
      </c>
      <c r="U776" s="2" t="s">
        <v>4154</v>
      </c>
    </row>
    <row r="777" spans="1:21">
      <c r="A777" s="2" t="s">
        <v>4155</v>
      </c>
      <c r="B777" s="2" t="s">
        <v>3</v>
      </c>
      <c r="C777" s="2" t="s">
        <v>4156</v>
      </c>
      <c r="D777" s="2" t="s">
        <v>4157</v>
      </c>
      <c r="E777" s="2" t="s">
        <v>4158</v>
      </c>
      <c r="F777" s="2" t="s">
        <v>4075</v>
      </c>
      <c r="G777" s="2" t="s">
        <v>4076</v>
      </c>
      <c r="H777" s="2" t="s">
        <v>4077</v>
      </c>
      <c r="I777" s="2" t="s">
        <v>0</v>
      </c>
      <c r="J777" s="2" t="s">
        <v>0</v>
      </c>
      <c r="K777" s="2" t="s">
        <v>4078</v>
      </c>
      <c r="L777" s="2" t="s">
        <v>0</v>
      </c>
      <c r="M777" s="2" t="s">
        <v>3853</v>
      </c>
      <c r="N777" s="2" t="s">
        <v>0</v>
      </c>
      <c r="O777" s="2" t="s">
        <v>82</v>
      </c>
      <c r="P777" s="2" t="s">
        <v>14</v>
      </c>
      <c r="Q777" s="2" t="s">
        <v>52</v>
      </c>
      <c r="R777" s="2" t="s">
        <v>53</v>
      </c>
      <c r="S777" s="2" t="s">
        <v>17</v>
      </c>
      <c r="T777" s="2" t="s">
        <v>18</v>
      </c>
      <c r="U777" s="2" t="s">
        <v>0</v>
      </c>
    </row>
    <row r="778" spans="1:21">
      <c r="A778" s="2" t="s">
        <v>4159</v>
      </c>
      <c r="B778" s="2" t="s">
        <v>27</v>
      </c>
      <c r="C778" s="2" t="s">
        <v>3146</v>
      </c>
      <c r="D778" s="2" t="s">
        <v>4160</v>
      </c>
      <c r="E778" s="2" t="s">
        <v>4161</v>
      </c>
      <c r="F778" s="2" t="s">
        <v>4075</v>
      </c>
      <c r="G778" s="2" t="s">
        <v>4076</v>
      </c>
      <c r="H778" s="2" t="s">
        <v>4077</v>
      </c>
      <c r="I778" s="2" t="s">
        <v>0</v>
      </c>
      <c r="J778" s="2" t="s">
        <v>0</v>
      </c>
      <c r="K778" s="2" t="s">
        <v>4078</v>
      </c>
      <c r="L778" s="2" t="s">
        <v>0</v>
      </c>
      <c r="M778" s="2" t="s">
        <v>3853</v>
      </c>
      <c r="N778" s="2" t="s">
        <v>0</v>
      </c>
      <c r="O778" s="2" t="s">
        <v>82</v>
      </c>
      <c r="P778" s="2" t="s">
        <v>14</v>
      </c>
      <c r="Q778" s="2" t="s">
        <v>52</v>
      </c>
      <c r="R778" s="2" t="s">
        <v>53</v>
      </c>
      <c r="S778" s="2" t="s">
        <v>17</v>
      </c>
      <c r="T778" s="2" t="s">
        <v>35</v>
      </c>
      <c r="U778" s="2" t="s">
        <v>0</v>
      </c>
    </row>
    <row r="779" spans="1:21">
      <c r="A779" s="2" t="s">
        <v>4162</v>
      </c>
      <c r="B779" s="2" t="s">
        <v>46</v>
      </c>
      <c r="C779" s="2" t="s">
        <v>4163</v>
      </c>
      <c r="D779" s="2" t="s">
        <v>4164</v>
      </c>
      <c r="E779" s="2" t="s">
        <v>4165</v>
      </c>
      <c r="F779" s="2" t="s">
        <v>4166</v>
      </c>
      <c r="G779" s="2" t="s">
        <v>4167</v>
      </c>
      <c r="H779" s="2" t="s">
        <v>4168</v>
      </c>
      <c r="I779" s="2" t="s">
        <v>0</v>
      </c>
      <c r="J779" s="2" t="s">
        <v>4169</v>
      </c>
      <c r="K779" s="2" t="s">
        <v>0</v>
      </c>
      <c r="L779" s="2" t="s">
        <v>4170</v>
      </c>
      <c r="M779" s="2" t="s">
        <v>0</v>
      </c>
      <c r="N779" s="2" t="s">
        <v>0</v>
      </c>
      <c r="O779" s="2" t="s">
        <v>82</v>
      </c>
      <c r="P779" s="2" t="s">
        <v>33</v>
      </c>
      <c r="Q779" s="2" t="s">
        <v>83</v>
      </c>
      <c r="R779" s="2" t="s">
        <v>34</v>
      </c>
      <c r="S779" s="2" t="s">
        <v>84</v>
      </c>
      <c r="T779" s="2" t="s">
        <v>18</v>
      </c>
      <c r="U779" s="2" t="s">
        <v>4171</v>
      </c>
    </row>
    <row r="780" spans="1:21">
      <c r="A780" s="2" t="s">
        <v>4172</v>
      </c>
      <c r="B780" s="2" t="s">
        <v>3</v>
      </c>
      <c r="C780" s="2" t="s">
        <v>4173</v>
      </c>
      <c r="D780" s="2" t="s">
        <v>4174</v>
      </c>
      <c r="E780" s="2" t="s">
        <v>4175</v>
      </c>
      <c r="F780" s="2" t="s">
        <v>4176</v>
      </c>
      <c r="G780" s="2" t="s">
        <v>4177</v>
      </c>
      <c r="H780" s="2" t="s">
        <v>4168</v>
      </c>
      <c r="I780" s="2" t="s">
        <v>0</v>
      </c>
      <c r="J780" s="2" t="s">
        <v>4169</v>
      </c>
      <c r="K780" s="2" t="s">
        <v>0</v>
      </c>
      <c r="L780" s="2" t="s">
        <v>4170</v>
      </c>
      <c r="M780" s="2" t="s">
        <v>0</v>
      </c>
      <c r="N780" s="2" t="s">
        <v>0</v>
      </c>
      <c r="O780" s="2" t="s">
        <v>82</v>
      </c>
      <c r="P780" s="2" t="s">
        <v>33</v>
      </c>
      <c r="Q780" s="2" t="s">
        <v>83</v>
      </c>
      <c r="R780" s="2" t="s">
        <v>34</v>
      </c>
      <c r="S780" s="2" t="s">
        <v>84</v>
      </c>
      <c r="T780" s="2" t="s">
        <v>18</v>
      </c>
      <c r="U780" s="2" t="s">
        <v>4178</v>
      </c>
    </row>
    <row r="781" spans="1:21">
      <c r="A781" s="2" t="s">
        <v>4179</v>
      </c>
      <c r="B781" s="2" t="s">
        <v>3</v>
      </c>
      <c r="C781" s="2" t="s">
        <v>4180</v>
      </c>
      <c r="D781" s="2" t="s">
        <v>4181</v>
      </c>
      <c r="E781" s="2" t="s">
        <v>4182</v>
      </c>
      <c r="F781" s="2" t="s">
        <v>4176</v>
      </c>
      <c r="G781" s="2" t="s">
        <v>4177</v>
      </c>
      <c r="H781" s="2" t="s">
        <v>4168</v>
      </c>
      <c r="I781" s="2" t="s">
        <v>0</v>
      </c>
      <c r="J781" s="2" t="s">
        <v>4169</v>
      </c>
      <c r="K781" s="2" t="s">
        <v>0</v>
      </c>
      <c r="L781" s="2" t="s">
        <v>4170</v>
      </c>
      <c r="M781" s="2" t="s">
        <v>0</v>
      </c>
      <c r="N781" s="2" t="s">
        <v>0</v>
      </c>
      <c r="O781" s="2" t="s">
        <v>82</v>
      </c>
      <c r="P781" s="2" t="s">
        <v>33</v>
      </c>
      <c r="Q781" s="2" t="s">
        <v>83</v>
      </c>
      <c r="R781" s="2" t="s">
        <v>34</v>
      </c>
      <c r="S781" s="2" t="s">
        <v>84</v>
      </c>
      <c r="T781" s="2" t="s">
        <v>18</v>
      </c>
      <c r="U781" s="2" t="s">
        <v>4183</v>
      </c>
    </row>
    <row r="782" spans="1:21">
      <c r="A782" s="2" t="s">
        <v>4184</v>
      </c>
      <c r="B782" s="2" t="s">
        <v>27</v>
      </c>
      <c r="C782" s="2" t="s">
        <v>4185</v>
      </c>
      <c r="D782" s="2" t="s">
        <v>4186</v>
      </c>
      <c r="E782" s="2" t="s">
        <v>4187</v>
      </c>
      <c r="F782" s="2" t="s">
        <v>4188</v>
      </c>
      <c r="G782" s="2" t="s">
        <v>4189</v>
      </c>
      <c r="H782" s="2" t="s">
        <v>4168</v>
      </c>
      <c r="I782" s="2" t="s">
        <v>0</v>
      </c>
      <c r="J782" s="2" t="s">
        <v>4169</v>
      </c>
      <c r="K782" s="2" t="s">
        <v>0</v>
      </c>
      <c r="L782" s="2" t="s">
        <v>4170</v>
      </c>
      <c r="M782" s="2" t="s">
        <v>0</v>
      </c>
      <c r="N782" s="2" t="s">
        <v>0</v>
      </c>
      <c r="O782" s="2" t="s">
        <v>82</v>
      </c>
      <c r="P782" s="2" t="s">
        <v>14</v>
      </c>
      <c r="Q782" s="2" t="s">
        <v>15</v>
      </c>
      <c r="R782" s="2" t="s">
        <v>16</v>
      </c>
      <c r="S782" s="2" t="s">
        <v>17</v>
      </c>
      <c r="T782" s="2" t="s">
        <v>35</v>
      </c>
      <c r="U782" s="2" t="s">
        <v>0</v>
      </c>
    </row>
    <row r="783" spans="1:21">
      <c r="A783" s="2" t="s">
        <v>4190</v>
      </c>
      <c r="B783" s="2" t="s">
        <v>27</v>
      </c>
      <c r="C783" s="2" t="s">
        <v>4191</v>
      </c>
      <c r="D783" s="2" t="s">
        <v>4192</v>
      </c>
      <c r="E783" s="2" t="s">
        <v>4193</v>
      </c>
      <c r="F783" s="2" t="s">
        <v>4176</v>
      </c>
      <c r="G783" s="2" t="s">
        <v>4177</v>
      </c>
      <c r="H783" s="2" t="s">
        <v>4168</v>
      </c>
      <c r="I783" s="2" t="s">
        <v>0</v>
      </c>
      <c r="J783" s="2" t="s">
        <v>4169</v>
      </c>
      <c r="K783" s="2" t="s">
        <v>0</v>
      </c>
      <c r="L783" s="2" t="s">
        <v>4170</v>
      </c>
      <c r="M783" s="2" t="s">
        <v>0</v>
      </c>
      <c r="N783" s="2" t="s">
        <v>0</v>
      </c>
      <c r="O783" s="2" t="s">
        <v>82</v>
      </c>
      <c r="P783" s="2" t="s">
        <v>14</v>
      </c>
      <c r="Q783" s="2" t="s">
        <v>15</v>
      </c>
      <c r="R783" s="2" t="s">
        <v>16</v>
      </c>
      <c r="S783" s="2" t="s">
        <v>17</v>
      </c>
      <c r="T783" s="2" t="s">
        <v>35</v>
      </c>
      <c r="U783" s="2" t="s">
        <v>0</v>
      </c>
    </row>
    <row r="784" spans="1:21">
      <c r="A784" s="2" t="s">
        <v>4194</v>
      </c>
      <c r="B784" s="2" t="s">
        <v>3</v>
      </c>
      <c r="C784" s="2" t="s">
        <v>114</v>
      </c>
      <c r="D784" s="2" t="s">
        <v>4195</v>
      </c>
      <c r="E784" s="2" t="s">
        <v>4196</v>
      </c>
      <c r="F784" s="2" t="s">
        <v>4176</v>
      </c>
      <c r="G784" s="2" t="s">
        <v>4177</v>
      </c>
      <c r="H784" s="2" t="s">
        <v>4168</v>
      </c>
      <c r="I784" s="2" t="s">
        <v>0</v>
      </c>
      <c r="J784" s="2" t="s">
        <v>4169</v>
      </c>
      <c r="K784" s="2" t="s">
        <v>0</v>
      </c>
      <c r="L784" s="2" t="s">
        <v>4170</v>
      </c>
      <c r="M784" s="2" t="s">
        <v>0</v>
      </c>
      <c r="N784" s="2" t="s">
        <v>0</v>
      </c>
      <c r="O784" s="2" t="s">
        <v>82</v>
      </c>
      <c r="P784" s="2" t="s">
        <v>14</v>
      </c>
      <c r="Q784" s="2" t="s">
        <v>52</v>
      </c>
      <c r="R784" s="2" t="s">
        <v>53</v>
      </c>
      <c r="S784" s="2" t="s">
        <v>17</v>
      </c>
      <c r="T784" s="2" t="s">
        <v>18</v>
      </c>
      <c r="U784" s="2" t="s">
        <v>4197</v>
      </c>
    </row>
    <row r="785" spans="1:21">
      <c r="A785" s="2" t="s">
        <v>4198</v>
      </c>
      <c r="B785" s="2" t="s">
        <v>3</v>
      </c>
      <c r="C785" s="2" t="s">
        <v>4199</v>
      </c>
      <c r="D785" s="2" t="s">
        <v>4200</v>
      </c>
      <c r="E785" s="2" t="s">
        <v>4201</v>
      </c>
      <c r="F785" s="2" t="s">
        <v>4202</v>
      </c>
      <c r="G785" s="2" t="s">
        <v>4203</v>
      </c>
      <c r="H785" s="2" t="s">
        <v>4204</v>
      </c>
      <c r="I785" s="2" t="s">
        <v>4205</v>
      </c>
      <c r="J785" s="2" t="s">
        <v>0</v>
      </c>
      <c r="K785" s="2" t="s">
        <v>0</v>
      </c>
      <c r="L785" s="2" t="s">
        <v>4170</v>
      </c>
      <c r="M785" s="2" t="s">
        <v>0</v>
      </c>
      <c r="N785" s="2" t="s">
        <v>0</v>
      </c>
      <c r="O785" s="2" t="s">
        <v>82</v>
      </c>
      <c r="P785" s="2" t="s">
        <v>33</v>
      </c>
      <c r="Q785" s="2" t="s">
        <v>83</v>
      </c>
      <c r="R785" s="2" t="s">
        <v>34</v>
      </c>
      <c r="S785" s="2" t="s">
        <v>84</v>
      </c>
      <c r="T785" s="2" t="s">
        <v>18</v>
      </c>
      <c r="U785" s="2" t="s">
        <v>4206</v>
      </c>
    </row>
    <row r="786" spans="1:21">
      <c r="A786" s="2" t="s">
        <v>4207</v>
      </c>
      <c r="B786" s="2" t="s">
        <v>3</v>
      </c>
      <c r="C786" s="2" t="s">
        <v>4208</v>
      </c>
      <c r="D786" s="2" t="s">
        <v>4209</v>
      </c>
      <c r="E786" s="2" t="s">
        <v>4210</v>
      </c>
      <c r="F786" s="2" t="s">
        <v>4211</v>
      </c>
      <c r="G786" s="2" t="s">
        <v>4212</v>
      </c>
      <c r="H786" s="2" t="s">
        <v>4204</v>
      </c>
      <c r="I786" s="2" t="s">
        <v>4205</v>
      </c>
      <c r="J786" s="2" t="s">
        <v>0</v>
      </c>
      <c r="K786" s="2" t="s">
        <v>0</v>
      </c>
      <c r="L786" s="2" t="s">
        <v>4170</v>
      </c>
      <c r="M786" s="2" t="s">
        <v>0</v>
      </c>
      <c r="N786" s="2" t="s">
        <v>0</v>
      </c>
      <c r="O786" s="2" t="s">
        <v>82</v>
      </c>
      <c r="P786" s="2" t="s">
        <v>33</v>
      </c>
      <c r="Q786" s="2" t="s">
        <v>83</v>
      </c>
      <c r="R786" s="2" t="s">
        <v>34</v>
      </c>
      <c r="S786" s="2" t="s">
        <v>84</v>
      </c>
      <c r="T786" s="2" t="s">
        <v>18</v>
      </c>
      <c r="U786" s="2" t="s">
        <v>0</v>
      </c>
    </row>
    <row r="787" spans="1:21">
      <c r="A787" s="2" t="s">
        <v>4213</v>
      </c>
      <c r="B787" s="2" t="s">
        <v>3</v>
      </c>
      <c r="C787" s="2" t="s">
        <v>4214</v>
      </c>
      <c r="D787" s="2" t="s">
        <v>4215</v>
      </c>
      <c r="E787" s="2" t="s">
        <v>4216</v>
      </c>
      <c r="F787" s="2" t="s">
        <v>4211</v>
      </c>
      <c r="G787" s="2" t="s">
        <v>4212</v>
      </c>
      <c r="H787" s="2" t="s">
        <v>4204</v>
      </c>
      <c r="I787" s="2" t="s">
        <v>4205</v>
      </c>
      <c r="J787" s="2" t="s">
        <v>0</v>
      </c>
      <c r="K787" s="2" t="s">
        <v>0</v>
      </c>
      <c r="L787" s="2" t="s">
        <v>4170</v>
      </c>
      <c r="M787" s="2" t="s">
        <v>0</v>
      </c>
      <c r="N787" s="2" t="s">
        <v>0</v>
      </c>
      <c r="O787" s="2" t="s">
        <v>82</v>
      </c>
      <c r="P787" s="2" t="s">
        <v>33</v>
      </c>
      <c r="Q787" s="2" t="s">
        <v>83</v>
      </c>
      <c r="R787" s="2" t="s">
        <v>34</v>
      </c>
      <c r="S787" s="2" t="s">
        <v>84</v>
      </c>
      <c r="T787" s="2" t="s">
        <v>18</v>
      </c>
      <c r="U787" s="2" t="s">
        <v>0</v>
      </c>
    </row>
    <row r="788" spans="1:21">
      <c r="A788" s="2" t="s">
        <v>4217</v>
      </c>
      <c r="B788" s="2" t="s">
        <v>27</v>
      </c>
      <c r="C788" s="2" t="s">
        <v>4218</v>
      </c>
      <c r="D788" s="2" t="s">
        <v>4219</v>
      </c>
      <c r="E788" s="2" t="s">
        <v>4220</v>
      </c>
      <c r="F788" s="2" t="s">
        <v>4211</v>
      </c>
      <c r="G788" s="2" t="s">
        <v>4212</v>
      </c>
      <c r="H788" s="2" t="s">
        <v>4204</v>
      </c>
      <c r="I788" s="2" t="s">
        <v>4205</v>
      </c>
      <c r="J788" s="2" t="s">
        <v>0</v>
      </c>
      <c r="K788" s="2" t="s">
        <v>0</v>
      </c>
      <c r="L788" s="2" t="s">
        <v>4170</v>
      </c>
      <c r="M788" s="2" t="s">
        <v>0</v>
      </c>
      <c r="N788" s="2" t="s">
        <v>0</v>
      </c>
      <c r="O788" s="2" t="s">
        <v>82</v>
      </c>
      <c r="P788" s="2" t="s">
        <v>33</v>
      </c>
      <c r="Q788" s="2" t="s">
        <v>214</v>
      </c>
      <c r="R788" s="2" t="s">
        <v>34</v>
      </c>
      <c r="S788" s="2" t="s">
        <v>84</v>
      </c>
      <c r="T788" s="2" t="s">
        <v>35</v>
      </c>
      <c r="U788" s="2" t="s">
        <v>4221</v>
      </c>
    </row>
    <row r="789" spans="1:21">
      <c r="A789" s="2" t="s">
        <v>4222</v>
      </c>
      <c r="B789" s="2" t="s">
        <v>3</v>
      </c>
      <c r="C789" s="2" t="s">
        <v>4223</v>
      </c>
      <c r="D789" s="2" t="s">
        <v>4224</v>
      </c>
      <c r="E789" s="2" t="s">
        <v>4225</v>
      </c>
      <c r="F789" s="2" t="s">
        <v>4226</v>
      </c>
      <c r="G789" s="2" t="s">
        <v>4227</v>
      </c>
      <c r="H789" s="2" t="s">
        <v>4228</v>
      </c>
      <c r="I789" s="2" t="s">
        <v>0</v>
      </c>
      <c r="J789" s="2" t="s">
        <v>4229</v>
      </c>
      <c r="K789" s="2" t="s">
        <v>0</v>
      </c>
      <c r="L789" s="2" t="s">
        <v>4170</v>
      </c>
      <c r="M789" s="2" t="s">
        <v>0</v>
      </c>
      <c r="N789" s="2" t="s">
        <v>0</v>
      </c>
      <c r="O789" s="2" t="s">
        <v>82</v>
      </c>
      <c r="P789" s="2" t="s">
        <v>33</v>
      </c>
      <c r="Q789" s="2" t="s">
        <v>83</v>
      </c>
      <c r="R789" s="2" t="s">
        <v>34</v>
      </c>
      <c r="S789" s="2" t="s">
        <v>84</v>
      </c>
      <c r="T789" s="2" t="s">
        <v>18</v>
      </c>
      <c r="U789" s="2" t="s">
        <v>0</v>
      </c>
    </row>
    <row r="790" spans="1:21">
      <c r="A790" s="2" t="s">
        <v>4230</v>
      </c>
      <c r="B790" s="2" t="s">
        <v>3</v>
      </c>
      <c r="C790" s="2" t="s">
        <v>2340</v>
      </c>
      <c r="D790" s="2" t="s">
        <v>4231</v>
      </c>
      <c r="E790" s="2" t="s">
        <v>4232</v>
      </c>
      <c r="F790" s="2" t="s">
        <v>4233</v>
      </c>
      <c r="G790" s="2" t="s">
        <v>4234</v>
      </c>
      <c r="H790" s="2" t="s">
        <v>4228</v>
      </c>
      <c r="I790" s="2" t="s">
        <v>0</v>
      </c>
      <c r="J790" s="2" t="s">
        <v>4229</v>
      </c>
      <c r="K790" s="2" t="s">
        <v>0</v>
      </c>
      <c r="L790" s="2" t="s">
        <v>4170</v>
      </c>
      <c r="M790" s="2" t="s">
        <v>0</v>
      </c>
      <c r="N790" s="2" t="s">
        <v>0</v>
      </c>
      <c r="O790" s="2" t="s">
        <v>82</v>
      </c>
      <c r="P790" s="2" t="s">
        <v>33</v>
      </c>
      <c r="Q790" s="2" t="s">
        <v>214</v>
      </c>
      <c r="R790" s="2" t="s">
        <v>34</v>
      </c>
      <c r="S790" s="2" t="s">
        <v>84</v>
      </c>
      <c r="T790" s="2" t="s">
        <v>18</v>
      </c>
      <c r="U790" s="2" t="s">
        <v>4235</v>
      </c>
    </row>
    <row r="791" spans="1:21">
      <c r="A791" s="2" t="s">
        <v>4236</v>
      </c>
      <c r="B791" s="2" t="s">
        <v>3</v>
      </c>
      <c r="C791" s="2" t="s">
        <v>4237</v>
      </c>
      <c r="D791" s="2" t="s">
        <v>4238</v>
      </c>
      <c r="E791" s="2" t="s">
        <v>4239</v>
      </c>
      <c r="F791" s="2" t="s">
        <v>4240</v>
      </c>
      <c r="G791" s="2" t="s">
        <v>4241</v>
      </c>
      <c r="H791" s="2" t="s">
        <v>4228</v>
      </c>
      <c r="I791" s="2" t="s">
        <v>0</v>
      </c>
      <c r="J791" s="2" t="s">
        <v>4229</v>
      </c>
      <c r="K791" s="2" t="s">
        <v>0</v>
      </c>
      <c r="L791" s="2" t="s">
        <v>4170</v>
      </c>
      <c r="M791" s="2" t="s">
        <v>0</v>
      </c>
      <c r="N791" s="2" t="s">
        <v>0</v>
      </c>
      <c r="O791" s="2" t="s">
        <v>82</v>
      </c>
      <c r="P791" s="2" t="s">
        <v>33</v>
      </c>
      <c r="Q791" s="2" t="s">
        <v>214</v>
      </c>
      <c r="R791" s="2" t="s">
        <v>34</v>
      </c>
      <c r="S791" s="2" t="s">
        <v>84</v>
      </c>
      <c r="T791" s="2" t="s">
        <v>18</v>
      </c>
      <c r="U791" s="2" t="s">
        <v>0</v>
      </c>
    </row>
    <row r="792" spans="1:21">
      <c r="A792" s="2" t="s">
        <v>4242</v>
      </c>
      <c r="B792" s="2" t="s">
        <v>27</v>
      </c>
      <c r="C792" s="2" t="s">
        <v>4243</v>
      </c>
      <c r="D792" s="2" t="s">
        <v>4244</v>
      </c>
      <c r="E792" s="2" t="s">
        <v>4245</v>
      </c>
      <c r="F792" s="2" t="s">
        <v>220</v>
      </c>
      <c r="G792" s="2" t="s">
        <v>4246</v>
      </c>
      <c r="H792" s="2" t="s">
        <v>4247</v>
      </c>
      <c r="I792" s="2" t="s">
        <v>0</v>
      </c>
      <c r="J792" s="2" t="s">
        <v>0</v>
      </c>
      <c r="K792" s="2" t="s">
        <v>0</v>
      </c>
      <c r="L792" s="2" t="s">
        <v>0</v>
      </c>
      <c r="M792" s="2" t="s">
        <v>4170</v>
      </c>
      <c r="N792" s="2" t="s">
        <v>0</v>
      </c>
      <c r="O792" s="2" t="s">
        <v>82</v>
      </c>
      <c r="P792" s="2" t="s">
        <v>33</v>
      </c>
      <c r="Q792" s="2" t="s">
        <v>83</v>
      </c>
      <c r="R792" s="2" t="s">
        <v>34</v>
      </c>
      <c r="S792" s="2" t="s">
        <v>84</v>
      </c>
      <c r="T792" s="2" t="s">
        <v>35</v>
      </c>
      <c r="U792" s="2" t="s">
        <v>4248</v>
      </c>
    </row>
    <row r="793" spans="1:21">
      <c r="A793" s="2" t="s">
        <v>4249</v>
      </c>
      <c r="B793" s="2" t="s">
        <v>27</v>
      </c>
      <c r="C793" s="2" t="s">
        <v>4250</v>
      </c>
      <c r="D793" s="2" t="s">
        <v>4251</v>
      </c>
      <c r="E793" s="2" t="s">
        <v>4252</v>
      </c>
      <c r="F793" s="2" t="s">
        <v>4176</v>
      </c>
      <c r="G793" s="2" t="s">
        <v>4177</v>
      </c>
      <c r="H793" s="2" t="s">
        <v>4247</v>
      </c>
      <c r="I793" s="2" t="s">
        <v>0</v>
      </c>
      <c r="J793" s="2" t="s">
        <v>0</v>
      </c>
      <c r="K793" s="2" t="s">
        <v>0</v>
      </c>
      <c r="L793" s="2" t="s">
        <v>0</v>
      </c>
      <c r="M793" s="2" t="s">
        <v>4170</v>
      </c>
      <c r="N793" s="2" t="s">
        <v>0</v>
      </c>
      <c r="O793" s="2" t="s">
        <v>82</v>
      </c>
      <c r="P793" s="2" t="s">
        <v>33</v>
      </c>
      <c r="Q793" s="2" t="s">
        <v>83</v>
      </c>
      <c r="R793" s="2" t="s">
        <v>34</v>
      </c>
      <c r="S793" s="2" t="s">
        <v>84</v>
      </c>
      <c r="T793" s="2" t="s">
        <v>35</v>
      </c>
      <c r="U793" s="2" t="s">
        <v>0</v>
      </c>
    </row>
    <row r="794" spans="1:21">
      <c r="A794" s="2" t="s">
        <v>4253</v>
      </c>
      <c r="B794" s="2" t="s">
        <v>27</v>
      </c>
      <c r="C794" s="2" t="s">
        <v>41</v>
      </c>
      <c r="D794" s="2" t="s">
        <v>4254</v>
      </c>
      <c r="E794" s="2" t="s">
        <v>4255</v>
      </c>
      <c r="F794" s="2" t="s">
        <v>4256</v>
      </c>
      <c r="G794" s="2" t="s">
        <v>4257</v>
      </c>
      <c r="H794" s="2" t="s">
        <v>4247</v>
      </c>
      <c r="I794" s="2" t="s">
        <v>0</v>
      </c>
      <c r="J794" s="2" t="s">
        <v>0</v>
      </c>
      <c r="K794" s="2" t="s">
        <v>0</v>
      </c>
      <c r="L794" s="2" t="s">
        <v>0</v>
      </c>
      <c r="M794" s="2" t="s">
        <v>4170</v>
      </c>
      <c r="N794" s="2" t="s">
        <v>0</v>
      </c>
      <c r="O794" s="2" t="s">
        <v>82</v>
      </c>
      <c r="P794" s="2" t="s">
        <v>33</v>
      </c>
      <c r="Q794" s="2" t="s">
        <v>83</v>
      </c>
      <c r="R794" s="2" t="s">
        <v>34</v>
      </c>
      <c r="S794" s="2" t="s">
        <v>84</v>
      </c>
      <c r="T794" s="2" t="s">
        <v>35</v>
      </c>
      <c r="U794" s="2" t="s">
        <v>4258</v>
      </c>
    </row>
    <row r="795" spans="1:21">
      <c r="A795" s="2" t="s">
        <v>4259</v>
      </c>
      <c r="B795" s="2" t="s">
        <v>3</v>
      </c>
      <c r="C795" s="2" t="s">
        <v>2529</v>
      </c>
      <c r="D795" s="2" t="s">
        <v>2349</v>
      </c>
      <c r="E795" s="2" t="s">
        <v>4260</v>
      </c>
      <c r="F795" s="2" t="s">
        <v>203</v>
      </c>
      <c r="G795" s="2" t="s">
        <v>204</v>
      </c>
      <c r="H795" s="2" t="s">
        <v>4247</v>
      </c>
      <c r="I795" s="2" t="s">
        <v>0</v>
      </c>
      <c r="J795" s="2" t="s">
        <v>0</v>
      </c>
      <c r="K795" s="2" t="s">
        <v>0</v>
      </c>
      <c r="L795" s="2" t="s">
        <v>0</v>
      </c>
      <c r="M795" s="2" t="s">
        <v>4170</v>
      </c>
      <c r="N795" s="2" t="s">
        <v>0</v>
      </c>
      <c r="O795" s="2" t="s">
        <v>82</v>
      </c>
      <c r="P795" s="2" t="s">
        <v>33</v>
      </c>
      <c r="Q795" s="2" t="s">
        <v>83</v>
      </c>
      <c r="R795" s="2" t="s">
        <v>34</v>
      </c>
      <c r="S795" s="2" t="s">
        <v>84</v>
      </c>
      <c r="T795" s="2" t="s">
        <v>18</v>
      </c>
      <c r="U795" s="2" t="s">
        <v>0</v>
      </c>
    </row>
    <row r="796" spans="1:21">
      <c r="A796" s="2" t="s">
        <v>4261</v>
      </c>
      <c r="B796" s="2" t="s">
        <v>27</v>
      </c>
      <c r="C796" s="2" t="s">
        <v>4262</v>
      </c>
      <c r="D796" s="2" t="s">
        <v>4263</v>
      </c>
      <c r="E796" s="2" t="s">
        <v>4264</v>
      </c>
      <c r="F796" s="2" t="s">
        <v>4265</v>
      </c>
      <c r="G796" s="2" t="s">
        <v>4266</v>
      </c>
      <c r="H796" s="2" t="s">
        <v>4267</v>
      </c>
      <c r="I796" s="2" t="s">
        <v>0</v>
      </c>
      <c r="J796" s="2" t="s">
        <v>4268</v>
      </c>
      <c r="K796" s="2" t="s">
        <v>0</v>
      </c>
      <c r="L796" s="2" t="s">
        <v>4170</v>
      </c>
      <c r="M796" s="2" t="s">
        <v>0</v>
      </c>
      <c r="N796" s="2" t="s">
        <v>0</v>
      </c>
      <c r="O796" s="2" t="s">
        <v>82</v>
      </c>
      <c r="P796" s="2" t="s">
        <v>33</v>
      </c>
      <c r="Q796" s="2" t="s">
        <v>83</v>
      </c>
      <c r="R796" s="2" t="s">
        <v>34</v>
      </c>
      <c r="S796" s="2" t="s">
        <v>84</v>
      </c>
      <c r="T796" s="2" t="s">
        <v>35</v>
      </c>
      <c r="U796" s="2" t="s">
        <v>4269</v>
      </c>
    </row>
    <row r="797" spans="1:21">
      <c r="A797" s="2" t="s">
        <v>4270</v>
      </c>
      <c r="B797" s="2" t="s">
        <v>3</v>
      </c>
      <c r="C797" s="2" t="s">
        <v>4271</v>
      </c>
      <c r="D797" s="2" t="s">
        <v>4272</v>
      </c>
      <c r="E797" s="2" t="s">
        <v>4273</v>
      </c>
      <c r="F797" s="2" t="s">
        <v>4274</v>
      </c>
      <c r="G797" s="2" t="s">
        <v>4275</v>
      </c>
      <c r="H797" s="2" t="s">
        <v>4267</v>
      </c>
      <c r="I797" s="2" t="s">
        <v>0</v>
      </c>
      <c r="J797" s="2" t="s">
        <v>4268</v>
      </c>
      <c r="K797" s="2" t="s">
        <v>0</v>
      </c>
      <c r="L797" s="2" t="s">
        <v>4170</v>
      </c>
      <c r="M797" s="2" t="s">
        <v>0</v>
      </c>
      <c r="N797" s="2" t="s">
        <v>0</v>
      </c>
      <c r="O797" s="2" t="s">
        <v>82</v>
      </c>
      <c r="P797" s="2" t="s">
        <v>33</v>
      </c>
      <c r="Q797" s="2" t="s">
        <v>83</v>
      </c>
      <c r="R797" s="2" t="s">
        <v>34</v>
      </c>
      <c r="S797" s="2" t="s">
        <v>84</v>
      </c>
      <c r="T797" s="2" t="s">
        <v>18</v>
      </c>
      <c r="U797" s="2" t="s">
        <v>4276</v>
      </c>
    </row>
    <row r="798" spans="1:21">
      <c r="A798" s="2" t="s">
        <v>4277</v>
      </c>
      <c r="B798" s="2" t="s">
        <v>27</v>
      </c>
      <c r="C798" s="2" t="s">
        <v>4278</v>
      </c>
      <c r="D798" s="2" t="s">
        <v>4279</v>
      </c>
      <c r="E798" s="2" t="s">
        <v>4280</v>
      </c>
      <c r="F798" s="2" t="s">
        <v>4281</v>
      </c>
      <c r="G798" s="2" t="s">
        <v>4282</v>
      </c>
      <c r="H798" s="2" t="s">
        <v>4267</v>
      </c>
      <c r="I798" s="2" t="s">
        <v>0</v>
      </c>
      <c r="J798" s="2" t="s">
        <v>4268</v>
      </c>
      <c r="K798" s="2" t="s">
        <v>0</v>
      </c>
      <c r="L798" s="2" t="s">
        <v>4170</v>
      </c>
      <c r="M798" s="2" t="s">
        <v>0</v>
      </c>
      <c r="N798" s="2" t="s">
        <v>0</v>
      </c>
      <c r="O798" s="2" t="s">
        <v>82</v>
      </c>
      <c r="P798" s="2" t="s">
        <v>33</v>
      </c>
      <c r="Q798" s="2" t="s">
        <v>83</v>
      </c>
      <c r="R798" s="2" t="s">
        <v>34</v>
      </c>
      <c r="S798" s="2" t="s">
        <v>84</v>
      </c>
      <c r="T798" s="2" t="s">
        <v>35</v>
      </c>
      <c r="U798" s="2" t="s">
        <v>0</v>
      </c>
    </row>
    <row r="799" spans="1:21">
      <c r="A799" s="2" t="s">
        <v>4283</v>
      </c>
      <c r="B799" s="2" t="s">
        <v>3</v>
      </c>
      <c r="C799" s="2" t="s">
        <v>4284</v>
      </c>
      <c r="D799" s="2" t="s">
        <v>4285</v>
      </c>
      <c r="E799" s="2" t="s">
        <v>4286</v>
      </c>
      <c r="F799" s="2" t="s">
        <v>4281</v>
      </c>
      <c r="G799" s="2" t="s">
        <v>4282</v>
      </c>
      <c r="H799" s="2" t="s">
        <v>4267</v>
      </c>
      <c r="I799" s="2" t="s">
        <v>0</v>
      </c>
      <c r="J799" s="2" t="s">
        <v>4268</v>
      </c>
      <c r="K799" s="2" t="s">
        <v>0</v>
      </c>
      <c r="L799" s="2" t="s">
        <v>4170</v>
      </c>
      <c r="M799" s="2" t="s">
        <v>0</v>
      </c>
      <c r="N799" s="2" t="s">
        <v>0</v>
      </c>
      <c r="O799" s="2" t="s">
        <v>82</v>
      </c>
      <c r="P799" s="2" t="s">
        <v>33</v>
      </c>
      <c r="Q799" s="2" t="s">
        <v>214</v>
      </c>
      <c r="R799" s="2" t="s">
        <v>34</v>
      </c>
      <c r="S799" s="2" t="s">
        <v>84</v>
      </c>
      <c r="T799" s="2" t="s">
        <v>18</v>
      </c>
      <c r="U799" s="2" t="s">
        <v>4287</v>
      </c>
    </row>
    <row r="800" spans="1:21">
      <c r="A800" s="2" t="s">
        <v>4288</v>
      </c>
      <c r="B800" s="2" t="s">
        <v>27</v>
      </c>
      <c r="C800" s="2" t="s">
        <v>4289</v>
      </c>
      <c r="D800" s="2" t="s">
        <v>4290</v>
      </c>
      <c r="E800" s="2" t="s">
        <v>4291</v>
      </c>
      <c r="F800" s="2" t="s">
        <v>4281</v>
      </c>
      <c r="G800" s="2" t="s">
        <v>4282</v>
      </c>
      <c r="H800" s="2" t="s">
        <v>4267</v>
      </c>
      <c r="I800" s="2" t="s">
        <v>0</v>
      </c>
      <c r="J800" s="2" t="s">
        <v>4268</v>
      </c>
      <c r="K800" s="2" t="s">
        <v>0</v>
      </c>
      <c r="L800" s="2" t="s">
        <v>4170</v>
      </c>
      <c r="M800" s="2" t="s">
        <v>0</v>
      </c>
      <c r="N800" s="2" t="s">
        <v>0</v>
      </c>
      <c r="O800" s="2" t="s">
        <v>82</v>
      </c>
      <c r="P800" s="2" t="s">
        <v>14</v>
      </c>
      <c r="Q800" s="2" t="s">
        <v>15</v>
      </c>
      <c r="R800" s="2" t="s">
        <v>16</v>
      </c>
      <c r="S800" s="2" t="s">
        <v>17</v>
      </c>
      <c r="T800" s="2" t="s">
        <v>35</v>
      </c>
      <c r="U800" s="2" t="s">
        <v>4292</v>
      </c>
    </row>
    <row r="801" spans="1:21">
      <c r="A801" s="2" t="s">
        <v>4293</v>
      </c>
      <c r="B801" s="2" t="s">
        <v>27</v>
      </c>
      <c r="C801" s="2" t="s">
        <v>4294</v>
      </c>
      <c r="D801" s="2" t="s">
        <v>4295</v>
      </c>
      <c r="E801" s="2" t="s">
        <v>4296</v>
      </c>
      <c r="F801" s="2" t="s">
        <v>4281</v>
      </c>
      <c r="G801" s="2" t="s">
        <v>4282</v>
      </c>
      <c r="H801" s="2" t="s">
        <v>4267</v>
      </c>
      <c r="I801" s="2" t="s">
        <v>0</v>
      </c>
      <c r="J801" s="2" t="s">
        <v>4268</v>
      </c>
      <c r="K801" s="2" t="s">
        <v>0</v>
      </c>
      <c r="L801" s="2" t="s">
        <v>4170</v>
      </c>
      <c r="M801" s="2" t="s">
        <v>0</v>
      </c>
      <c r="N801" s="2" t="s">
        <v>0</v>
      </c>
      <c r="O801" s="2" t="s">
        <v>82</v>
      </c>
      <c r="P801" s="2" t="s">
        <v>14</v>
      </c>
      <c r="Q801" s="2" t="s">
        <v>15</v>
      </c>
      <c r="R801" s="2" t="s">
        <v>16</v>
      </c>
      <c r="S801" s="2" t="s">
        <v>17</v>
      </c>
      <c r="T801" s="2" t="s">
        <v>35</v>
      </c>
      <c r="U801" s="2" t="s">
        <v>0</v>
      </c>
    </row>
    <row r="802" spans="1:21">
      <c r="A802" s="2" t="s">
        <v>4297</v>
      </c>
      <c r="B802" s="2" t="s">
        <v>27</v>
      </c>
      <c r="C802" s="2" t="s">
        <v>4298</v>
      </c>
      <c r="D802" s="2" t="s">
        <v>4299</v>
      </c>
      <c r="E802" s="2" t="s">
        <v>4300</v>
      </c>
      <c r="F802" s="2" t="s">
        <v>4281</v>
      </c>
      <c r="G802" s="2" t="s">
        <v>4282</v>
      </c>
      <c r="H802" s="2" t="s">
        <v>4267</v>
      </c>
      <c r="I802" s="2" t="s">
        <v>0</v>
      </c>
      <c r="J802" s="2" t="s">
        <v>4268</v>
      </c>
      <c r="K802" s="2" t="s">
        <v>0</v>
      </c>
      <c r="L802" s="2" t="s">
        <v>4170</v>
      </c>
      <c r="M802" s="2" t="s">
        <v>0</v>
      </c>
      <c r="N802" s="2" t="s">
        <v>0</v>
      </c>
      <c r="O802" s="2" t="s">
        <v>82</v>
      </c>
      <c r="P802" s="2" t="s">
        <v>14</v>
      </c>
      <c r="Q802" s="2" t="s">
        <v>15</v>
      </c>
      <c r="R802" s="2" t="s">
        <v>16</v>
      </c>
      <c r="S802" s="2" t="s">
        <v>17</v>
      </c>
      <c r="T802" s="2" t="s">
        <v>35</v>
      </c>
      <c r="U802" s="2" t="s">
        <v>4301</v>
      </c>
    </row>
    <row r="803" spans="1:21">
      <c r="A803" s="2" t="s">
        <v>4302</v>
      </c>
      <c r="B803" s="2" t="s">
        <v>27</v>
      </c>
      <c r="C803" s="2" t="s">
        <v>4303</v>
      </c>
      <c r="D803" s="2" t="s">
        <v>3671</v>
      </c>
      <c r="E803" s="2" t="s">
        <v>4304</v>
      </c>
      <c r="F803" s="2" t="s">
        <v>4281</v>
      </c>
      <c r="G803" s="2" t="s">
        <v>4282</v>
      </c>
      <c r="H803" s="2" t="s">
        <v>4267</v>
      </c>
      <c r="I803" s="2" t="s">
        <v>0</v>
      </c>
      <c r="J803" s="2" t="s">
        <v>4268</v>
      </c>
      <c r="K803" s="2" t="s">
        <v>0</v>
      </c>
      <c r="L803" s="2" t="s">
        <v>4170</v>
      </c>
      <c r="M803" s="2" t="s">
        <v>0</v>
      </c>
      <c r="N803" s="2" t="s">
        <v>0</v>
      </c>
      <c r="O803" s="2" t="s">
        <v>82</v>
      </c>
      <c r="P803" s="2" t="s">
        <v>14</v>
      </c>
      <c r="Q803" s="2" t="s">
        <v>52</v>
      </c>
      <c r="R803" s="2" t="s">
        <v>53</v>
      </c>
      <c r="S803" s="2" t="s">
        <v>17</v>
      </c>
      <c r="T803" s="2" t="s">
        <v>35</v>
      </c>
      <c r="U803" s="2" t="s">
        <v>0</v>
      </c>
    </row>
    <row r="804" spans="1:21">
      <c r="A804" s="2" t="s">
        <v>4305</v>
      </c>
      <c r="B804" s="2" t="s">
        <v>27</v>
      </c>
      <c r="C804" s="2" t="s">
        <v>1026</v>
      </c>
      <c r="D804" s="2" t="s">
        <v>4306</v>
      </c>
      <c r="E804" s="2" t="s">
        <v>4307</v>
      </c>
      <c r="F804" s="2" t="s">
        <v>4308</v>
      </c>
      <c r="G804" s="2" t="s">
        <v>4309</v>
      </c>
      <c r="H804" s="2" t="s">
        <v>4267</v>
      </c>
      <c r="I804" s="2" t="s">
        <v>0</v>
      </c>
      <c r="J804" s="2" t="s">
        <v>4268</v>
      </c>
      <c r="K804" s="2" t="s">
        <v>0</v>
      </c>
      <c r="L804" s="2" t="s">
        <v>4170</v>
      </c>
      <c r="M804" s="2" t="s">
        <v>0</v>
      </c>
      <c r="N804" s="2" t="s">
        <v>0</v>
      </c>
      <c r="O804" s="2" t="s">
        <v>82</v>
      </c>
      <c r="P804" s="2" t="s">
        <v>14</v>
      </c>
      <c r="Q804" s="2" t="s">
        <v>52</v>
      </c>
      <c r="R804" s="2" t="s">
        <v>53</v>
      </c>
      <c r="S804" s="2" t="s">
        <v>17</v>
      </c>
      <c r="T804" s="2" t="s">
        <v>35</v>
      </c>
      <c r="U804" s="2" t="s">
        <v>4310</v>
      </c>
    </row>
    <row r="805" spans="1:21">
      <c r="A805" s="2" t="s">
        <v>4311</v>
      </c>
      <c r="B805" s="2" t="s">
        <v>3</v>
      </c>
      <c r="C805" s="2" t="s">
        <v>4312</v>
      </c>
      <c r="D805" s="2" t="s">
        <v>4313</v>
      </c>
      <c r="E805" s="2" t="s">
        <v>4314</v>
      </c>
      <c r="F805" s="2" t="s">
        <v>4315</v>
      </c>
      <c r="G805" s="2" t="s">
        <v>4316</v>
      </c>
      <c r="H805" s="2" t="s">
        <v>4267</v>
      </c>
      <c r="I805" s="2" t="s">
        <v>0</v>
      </c>
      <c r="J805" s="2" t="s">
        <v>4268</v>
      </c>
      <c r="K805" s="2" t="s">
        <v>0</v>
      </c>
      <c r="L805" s="2" t="s">
        <v>4170</v>
      </c>
      <c r="M805" s="2" t="s">
        <v>0</v>
      </c>
      <c r="N805" s="2" t="s">
        <v>0</v>
      </c>
      <c r="O805" s="2" t="s">
        <v>82</v>
      </c>
      <c r="P805" s="2" t="s">
        <v>14</v>
      </c>
      <c r="Q805" s="2" t="s">
        <v>52</v>
      </c>
      <c r="R805" s="2" t="s">
        <v>53</v>
      </c>
      <c r="S805" s="2" t="s">
        <v>17</v>
      </c>
      <c r="T805" s="2" t="s">
        <v>18</v>
      </c>
      <c r="U805" s="2" t="s">
        <v>0</v>
      </c>
    </row>
    <row r="806" spans="1:21" ht="22.2">
      <c r="A806" s="7" t="s">
        <v>4317</v>
      </c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</row>
  </sheetData>
  <sortState xmlns:xlrd2="http://schemas.microsoft.com/office/spreadsheetml/2017/richdata2" ref="A1:U806">
    <sortCondition ref="H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5"/>
  <sheetViews>
    <sheetView showGridLines="0" showRowColHeaders="0" zoomScale="80" zoomScaleNormal="80" zoomScaleSheetLayoutView="92" workbookViewId="0">
      <selection activeCell="E78" sqref="E78:E82"/>
    </sheetView>
  </sheetViews>
  <sheetFormatPr defaultColWidth="9" defaultRowHeight="13.8"/>
  <cols>
    <col min="1" max="1" width="2.33203125" style="23" customWidth="1"/>
    <col min="2" max="2" width="18.6640625" style="89" customWidth="1"/>
    <col min="3" max="3" width="21" style="23" customWidth="1"/>
    <col min="4" max="6" width="25.6640625" style="23" customWidth="1"/>
    <col min="7" max="7" width="27.33203125" style="23" customWidth="1"/>
    <col min="8" max="16384" width="9" style="23"/>
  </cols>
  <sheetData>
    <row r="1" spans="2:11" ht="39.6" customHeight="1">
      <c r="B1" s="332" t="s">
        <v>4318</v>
      </c>
      <c r="C1" s="332"/>
      <c r="D1" s="332"/>
      <c r="E1" s="332"/>
      <c r="F1" s="332"/>
      <c r="G1" s="332"/>
    </row>
    <row r="2" spans="2:11" ht="12.6" customHeight="1" thickBot="1">
      <c r="B2" s="24"/>
      <c r="C2" s="25"/>
      <c r="D2" s="26"/>
      <c r="E2" s="24"/>
      <c r="F2" s="27"/>
      <c r="G2" s="28" t="s">
        <v>4319</v>
      </c>
    </row>
    <row r="3" spans="2:11" s="29" customFormat="1" ht="33" customHeight="1" thickBot="1">
      <c r="B3" s="333" t="s">
        <v>4320</v>
      </c>
      <c r="C3" s="334"/>
      <c r="D3" s="339" t="s">
        <v>4321</v>
      </c>
      <c r="E3" s="340"/>
      <c r="F3" s="340"/>
      <c r="G3" s="341"/>
    </row>
    <row r="4" spans="2:11" s="29" customFormat="1" ht="15.6" customHeight="1">
      <c r="B4" s="335"/>
      <c r="C4" s="336"/>
      <c r="D4" s="342" t="s">
        <v>4322</v>
      </c>
      <c r="E4" s="344" t="s">
        <v>4323</v>
      </c>
      <c r="F4" s="346" t="s">
        <v>4324</v>
      </c>
      <c r="G4" s="348" t="s">
        <v>4325</v>
      </c>
    </row>
    <row r="5" spans="2:11" s="29" customFormat="1" ht="16.350000000000001" customHeight="1" thickBot="1">
      <c r="B5" s="337"/>
      <c r="C5" s="338"/>
      <c r="D5" s="343"/>
      <c r="E5" s="345"/>
      <c r="F5" s="347"/>
      <c r="G5" s="349"/>
    </row>
    <row r="6" spans="2:11" s="29" customFormat="1" ht="21" customHeight="1" thickBot="1">
      <c r="B6" s="319" t="s">
        <v>4326</v>
      </c>
      <c r="C6" s="320"/>
      <c r="D6" s="30" t="s">
        <v>4327</v>
      </c>
      <c r="E6" s="31" t="s">
        <v>4328</v>
      </c>
      <c r="F6" s="32" t="s">
        <v>4329</v>
      </c>
      <c r="G6" s="33" t="s">
        <v>4330</v>
      </c>
      <c r="H6" s="34"/>
      <c r="I6" s="34"/>
      <c r="J6" s="34"/>
      <c r="K6" s="34"/>
    </row>
    <row r="7" spans="2:11" s="39" customFormat="1" ht="28.2" thickBot="1">
      <c r="B7" s="321"/>
      <c r="C7" s="322"/>
      <c r="D7" s="35" t="s">
        <v>4331</v>
      </c>
      <c r="E7" s="36" t="s">
        <v>4332</v>
      </c>
      <c r="F7" s="37" t="s">
        <v>4333</v>
      </c>
      <c r="G7" s="37" t="s">
        <v>4334</v>
      </c>
      <c r="H7" s="38"/>
      <c r="I7" s="38"/>
      <c r="J7" s="38"/>
      <c r="K7" s="38"/>
    </row>
    <row r="8" spans="2:11" ht="14.4" thickBot="1">
      <c r="B8" s="25"/>
      <c r="C8" s="25"/>
      <c r="D8" s="40"/>
      <c r="E8" s="40"/>
      <c r="F8" s="40"/>
      <c r="G8" s="26"/>
      <c r="H8" s="41"/>
      <c r="I8" s="41"/>
      <c r="J8" s="41"/>
      <c r="K8" s="41"/>
    </row>
    <row r="9" spans="2:11" ht="14.4" thickBot="1">
      <c r="B9" s="323" t="s">
        <v>4335</v>
      </c>
      <c r="C9" s="324"/>
      <c r="D9" s="327" t="s">
        <v>4321</v>
      </c>
      <c r="E9" s="328"/>
      <c r="F9" s="328"/>
      <c r="G9" s="329"/>
    </row>
    <row r="10" spans="2:11" ht="27" thickBot="1">
      <c r="B10" s="325"/>
      <c r="C10" s="326"/>
      <c r="D10" s="42" t="s">
        <v>4322</v>
      </c>
      <c r="E10" s="43" t="s">
        <v>4323</v>
      </c>
      <c r="F10" s="44" t="s">
        <v>4324</v>
      </c>
      <c r="G10" s="45" t="s">
        <v>4325</v>
      </c>
    </row>
    <row r="11" spans="2:11" ht="26.4">
      <c r="B11" s="315" t="s">
        <v>4336</v>
      </c>
      <c r="C11" s="46" t="s">
        <v>4337</v>
      </c>
      <c r="D11" s="47" t="s">
        <v>4338</v>
      </c>
      <c r="E11" s="48" t="s">
        <v>4339</v>
      </c>
      <c r="F11" s="49" t="s">
        <v>4340</v>
      </c>
      <c r="G11" s="48" t="s">
        <v>4341</v>
      </c>
    </row>
    <row r="12" spans="2:11" ht="26.4">
      <c r="B12" s="330"/>
      <c r="C12" s="50" t="s">
        <v>4342</v>
      </c>
      <c r="D12" s="51" t="s">
        <v>4338</v>
      </c>
      <c r="E12" s="52" t="s">
        <v>4339</v>
      </c>
      <c r="F12" s="53" t="s">
        <v>4340</v>
      </c>
      <c r="G12" s="52" t="s">
        <v>4341</v>
      </c>
    </row>
    <row r="13" spans="2:11" ht="26.4">
      <c r="B13" s="330"/>
      <c r="C13" s="50" t="s">
        <v>4343</v>
      </c>
      <c r="D13" s="51" t="s">
        <v>4338</v>
      </c>
      <c r="E13" s="52" t="s">
        <v>4339</v>
      </c>
      <c r="F13" s="53" t="s">
        <v>4340</v>
      </c>
      <c r="G13" s="52" t="s">
        <v>4344</v>
      </c>
    </row>
    <row r="14" spans="2:11" ht="26.4">
      <c r="B14" s="330"/>
      <c r="C14" s="50" t="s">
        <v>4345</v>
      </c>
      <c r="D14" s="51" t="s">
        <v>4338</v>
      </c>
      <c r="E14" s="52" t="s">
        <v>4339</v>
      </c>
      <c r="F14" s="53" t="s">
        <v>4340</v>
      </c>
      <c r="G14" s="52" t="s">
        <v>4344</v>
      </c>
    </row>
    <row r="15" spans="2:11" ht="52.8">
      <c r="B15" s="330"/>
      <c r="C15" s="50" t="s">
        <v>4346</v>
      </c>
      <c r="D15" s="51" t="s">
        <v>4347</v>
      </c>
      <c r="E15" s="52" t="s">
        <v>4348</v>
      </c>
      <c r="F15" s="53" t="s">
        <v>4349</v>
      </c>
      <c r="G15" s="52" t="s">
        <v>4350</v>
      </c>
    </row>
    <row r="16" spans="2:11" ht="40.200000000000003" thickBot="1">
      <c r="B16" s="330"/>
      <c r="C16" s="54" t="s">
        <v>4351</v>
      </c>
      <c r="D16" s="55" t="s">
        <v>4352</v>
      </c>
      <c r="E16" s="56" t="s">
        <v>4353</v>
      </c>
      <c r="F16" s="57" t="s">
        <v>4354</v>
      </c>
      <c r="G16" s="56" t="s">
        <v>4355</v>
      </c>
    </row>
    <row r="17" spans="2:7" ht="79.2">
      <c r="B17" s="331" t="s">
        <v>4356</v>
      </c>
      <c r="C17" s="58" t="s">
        <v>4357</v>
      </c>
      <c r="D17" s="59" t="s">
        <v>4358</v>
      </c>
      <c r="E17" s="60" t="s">
        <v>4359</v>
      </c>
      <c r="F17" s="61" t="s">
        <v>4360</v>
      </c>
      <c r="G17" s="60" t="s">
        <v>4361</v>
      </c>
    </row>
    <row r="18" spans="2:7" ht="52.8">
      <c r="B18" s="317"/>
      <c r="C18" s="62" t="s">
        <v>4362</v>
      </c>
      <c r="D18" s="63" t="s">
        <v>4363</v>
      </c>
      <c r="E18" s="62" t="s">
        <v>4364</v>
      </c>
      <c r="F18" s="64" t="s">
        <v>4365</v>
      </c>
      <c r="G18" s="62" t="s">
        <v>4366</v>
      </c>
    </row>
    <row r="19" spans="2:7" ht="79.2">
      <c r="B19" s="317"/>
      <c r="C19" s="62" t="s">
        <v>4367</v>
      </c>
      <c r="D19" s="63" t="s">
        <v>4368</v>
      </c>
      <c r="E19" s="62" t="s">
        <v>4369</v>
      </c>
      <c r="F19" s="64" t="s">
        <v>4370</v>
      </c>
      <c r="G19" s="62" t="s">
        <v>4371</v>
      </c>
    </row>
    <row r="20" spans="2:7" ht="39.6">
      <c r="B20" s="317"/>
      <c r="C20" s="62" t="s">
        <v>4372</v>
      </c>
      <c r="D20" s="63" t="s">
        <v>4373</v>
      </c>
      <c r="E20" s="62" t="s">
        <v>4374</v>
      </c>
      <c r="F20" s="64" t="s">
        <v>4375</v>
      </c>
      <c r="G20" s="62" t="s">
        <v>4376</v>
      </c>
    </row>
    <row r="21" spans="2:7" ht="40.200000000000003" thickBot="1">
      <c r="B21" s="318"/>
      <c r="C21" s="65" t="s">
        <v>4377</v>
      </c>
      <c r="D21" s="66" t="s">
        <v>4378</v>
      </c>
      <c r="E21" s="65" t="s">
        <v>4379</v>
      </c>
      <c r="F21" s="67" t="s">
        <v>4380</v>
      </c>
      <c r="G21" s="65" t="s">
        <v>4381</v>
      </c>
    </row>
    <row r="22" spans="2:7" ht="52.8">
      <c r="B22" s="331" t="s">
        <v>4382</v>
      </c>
      <c r="C22" s="46" t="s">
        <v>4383</v>
      </c>
      <c r="D22" s="68" t="s">
        <v>3927</v>
      </c>
      <c r="E22" s="46" t="s">
        <v>4384</v>
      </c>
      <c r="F22" s="69" t="s">
        <v>4385</v>
      </c>
      <c r="G22" s="46" t="s">
        <v>4386</v>
      </c>
    </row>
    <row r="23" spans="2:7" ht="92.4">
      <c r="B23" s="317"/>
      <c r="C23" s="70" t="s">
        <v>4387</v>
      </c>
      <c r="D23" s="71" t="s">
        <v>4388</v>
      </c>
      <c r="E23" s="50" t="s">
        <v>4389</v>
      </c>
      <c r="F23" s="72" t="s">
        <v>4390</v>
      </c>
      <c r="G23" s="50" t="s">
        <v>4391</v>
      </c>
    </row>
    <row r="24" spans="2:7" ht="111" thickBot="1">
      <c r="B24" s="318"/>
      <c r="C24" s="73" t="s">
        <v>4392</v>
      </c>
      <c r="D24" s="74" t="s">
        <v>4393</v>
      </c>
      <c r="E24" s="75" t="s">
        <v>4394</v>
      </c>
      <c r="F24" s="76" t="s">
        <v>4395</v>
      </c>
      <c r="G24" s="75" t="s">
        <v>4396</v>
      </c>
    </row>
    <row r="25" spans="2:7" ht="26.4">
      <c r="B25" s="315" t="s">
        <v>4397</v>
      </c>
      <c r="C25" s="77" t="s">
        <v>4398</v>
      </c>
      <c r="D25" s="78" t="s">
        <v>4399</v>
      </c>
      <c r="E25" s="77" t="s">
        <v>4400</v>
      </c>
      <c r="F25" s="79" t="s">
        <v>4401</v>
      </c>
      <c r="G25" s="77" t="s">
        <v>4402</v>
      </c>
    </row>
    <row r="26" spans="2:7" ht="27" thickBot="1">
      <c r="B26" s="316"/>
      <c r="C26" s="80" t="s">
        <v>4403</v>
      </c>
      <c r="D26" s="81" t="s">
        <v>3927</v>
      </c>
      <c r="E26" s="80" t="s">
        <v>4404</v>
      </c>
      <c r="F26" s="82" t="s">
        <v>4405</v>
      </c>
      <c r="G26" s="80" t="s">
        <v>4406</v>
      </c>
    </row>
    <row r="27" spans="2:7" ht="66">
      <c r="B27" s="317" t="s">
        <v>4407</v>
      </c>
      <c r="C27" s="83" t="s">
        <v>4408</v>
      </c>
      <c r="D27" s="84" t="s">
        <v>4409</v>
      </c>
      <c r="E27" s="83" t="s">
        <v>4410</v>
      </c>
      <c r="F27" s="85" t="s">
        <v>4411</v>
      </c>
      <c r="G27" s="83" t="s">
        <v>4412</v>
      </c>
    </row>
    <row r="28" spans="2:7" ht="79.8" thickBot="1">
      <c r="B28" s="318"/>
      <c r="C28" s="86" t="s">
        <v>4413</v>
      </c>
      <c r="D28" s="87" t="s">
        <v>4414</v>
      </c>
      <c r="E28" s="86" t="s">
        <v>4415</v>
      </c>
      <c r="F28" s="88" t="s">
        <v>4416</v>
      </c>
      <c r="G28" s="86" t="s">
        <v>4417</v>
      </c>
    </row>
    <row r="30" spans="2:7">
      <c r="C30" s="90"/>
      <c r="E30" s="91"/>
      <c r="F30" s="91"/>
      <c r="G30" s="91"/>
    </row>
    <row r="44" spans="2:2">
      <c r="B44" s="23"/>
    </row>
    <row r="45" spans="2:2">
      <c r="B45" s="23"/>
    </row>
  </sheetData>
  <mergeCells count="15">
    <mergeCell ref="B1:G1"/>
    <mergeCell ref="B3:C5"/>
    <mergeCell ref="D3:G3"/>
    <mergeCell ref="D4:D5"/>
    <mergeCell ref="E4:E5"/>
    <mergeCell ref="F4:F5"/>
    <mergeCell ref="G4:G5"/>
    <mergeCell ref="B25:B26"/>
    <mergeCell ref="B27:B28"/>
    <mergeCell ref="B6:C7"/>
    <mergeCell ref="B9:C10"/>
    <mergeCell ref="D9:G9"/>
    <mergeCell ref="B11:B16"/>
    <mergeCell ref="B17:B21"/>
    <mergeCell ref="B22:B24"/>
  </mergeCells>
  <pageMargins left="0.7" right="0.7" top="0.75" bottom="0.75" header="0.3" footer="0.3"/>
  <pageSetup paperSize="9" scale="46" orientation="portrait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46"/>
  <sheetViews>
    <sheetView showGridLines="0" showRowColHeaders="0" topLeftCell="A4" zoomScale="117" zoomScaleNormal="117" zoomScaleSheetLayoutView="92" workbookViewId="0">
      <selection activeCell="C19" sqref="C19"/>
    </sheetView>
  </sheetViews>
  <sheetFormatPr defaultColWidth="9" defaultRowHeight="13.8"/>
  <cols>
    <col min="1" max="1" width="2.33203125" style="23" customWidth="1"/>
    <col min="2" max="2" width="14.109375" style="89" customWidth="1"/>
    <col min="3" max="3" width="31.6640625" style="23" customWidth="1"/>
    <col min="4" max="7" width="27.33203125" style="23" customWidth="1"/>
    <col min="8" max="16384" width="9" style="23"/>
  </cols>
  <sheetData>
    <row r="1" spans="2:11" ht="52.95" customHeight="1">
      <c r="B1" s="332" t="s">
        <v>4318</v>
      </c>
      <c r="C1" s="332"/>
      <c r="D1" s="332"/>
      <c r="E1" s="332"/>
      <c r="F1" s="332"/>
      <c r="G1" s="332"/>
    </row>
    <row r="2" spans="2:11" ht="14.4" thickBot="1">
      <c r="B2" s="24"/>
      <c r="C2" s="25"/>
      <c r="D2" s="26"/>
      <c r="E2" s="24"/>
      <c r="F2" s="27"/>
      <c r="G2" s="28" t="s">
        <v>4319</v>
      </c>
    </row>
    <row r="3" spans="2:11" s="29" customFormat="1" ht="15.6" customHeight="1" thickBot="1">
      <c r="B3" s="333" t="s">
        <v>4418</v>
      </c>
      <c r="C3" s="334"/>
      <c r="D3" s="339" t="s">
        <v>4419</v>
      </c>
      <c r="E3" s="340"/>
      <c r="F3" s="340"/>
      <c r="G3" s="341"/>
    </row>
    <row r="4" spans="2:11" s="29" customFormat="1" ht="15.6" customHeight="1">
      <c r="B4" s="335"/>
      <c r="C4" s="336"/>
      <c r="D4" s="342" t="s">
        <v>4420</v>
      </c>
      <c r="E4" s="344" t="s">
        <v>4421</v>
      </c>
      <c r="F4" s="346" t="s">
        <v>4422</v>
      </c>
      <c r="G4" s="348" t="s">
        <v>4423</v>
      </c>
    </row>
    <row r="5" spans="2:11" s="29" customFormat="1" ht="16.350000000000001" customHeight="1" thickBot="1">
      <c r="B5" s="337"/>
      <c r="C5" s="338"/>
      <c r="D5" s="343"/>
      <c r="E5" s="345"/>
      <c r="F5" s="347"/>
      <c r="G5" s="349"/>
    </row>
    <row r="6" spans="2:11" s="29" customFormat="1" ht="21" customHeight="1" thickBot="1">
      <c r="B6" s="319" t="s">
        <v>4418</v>
      </c>
      <c r="C6" s="320"/>
      <c r="D6" s="30" t="s">
        <v>4327</v>
      </c>
      <c r="E6" s="31" t="s">
        <v>4424</v>
      </c>
      <c r="F6" s="32" t="s">
        <v>4425</v>
      </c>
      <c r="G6" s="33" t="s">
        <v>4330</v>
      </c>
      <c r="H6" s="34"/>
      <c r="I6" s="34"/>
      <c r="J6" s="34"/>
      <c r="K6" s="34"/>
    </row>
    <row r="7" spans="2:11" s="39" customFormat="1" ht="30.6" thickBot="1">
      <c r="B7" s="321"/>
      <c r="C7" s="322"/>
      <c r="D7" s="37" t="s">
        <v>4426</v>
      </c>
      <c r="E7" s="37" t="s">
        <v>4427</v>
      </c>
      <c r="F7" s="37" t="s">
        <v>4428</v>
      </c>
      <c r="G7" s="37" t="s">
        <v>4429</v>
      </c>
      <c r="H7" s="38"/>
      <c r="I7" s="38"/>
      <c r="J7" s="38"/>
      <c r="K7" s="38"/>
    </row>
    <row r="8" spans="2:11" ht="14.4" thickBot="1">
      <c r="B8" s="25"/>
      <c r="C8" s="25"/>
      <c r="D8" s="40"/>
      <c r="E8" s="40"/>
      <c r="F8" s="40"/>
      <c r="G8" s="26"/>
      <c r="H8" s="41"/>
      <c r="I8" s="41"/>
      <c r="J8" s="41"/>
      <c r="K8" s="41"/>
    </row>
    <row r="9" spans="2:11" ht="14.4" thickBot="1">
      <c r="B9" s="353" t="s">
        <v>4430</v>
      </c>
      <c r="C9" s="324"/>
      <c r="D9" s="327" t="s">
        <v>4419</v>
      </c>
      <c r="E9" s="328"/>
      <c r="F9" s="328"/>
      <c r="G9" s="329"/>
    </row>
    <row r="10" spans="2:11">
      <c r="B10" s="354"/>
      <c r="C10" s="355"/>
      <c r="D10" s="356" t="s">
        <v>4420</v>
      </c>
      <c r="E10" s="358" t="s">
        <v>4421</v>
      </c>
      <c r="F10" s="360" t="s">
        <v>4422</v>
      </c>
      <c r="G10" s="362" t="s">
        <v>4423</v>
      </c>
    </row>
    <row r="11" spans="2:11" ht="14.4" thickBot="1">
      <c r="B11" s="354"/>
      <c r="C11" s="355"/>
      <c r="D11" s="357"/>
      <c r="E11" s="359"/>
      <c r="F11" s="361"/>
      <c r="G11" s="363"/>
    </row>
    <row r="12" spans="2:11" ht="22.2" customHeight="1">
      <c r="B12" s="350" t="s">
        <v>4431</v>
      </c>
      <c r="C12" s="92" t="s">
        <v>4432</v>
      </c>
      <c r="D12" s="51" t="s">
        <v>4338</v>
      </c>
      <c r="E12" s="93" t="s">
        <v>4433</v>
      </c>
      <c r="F12" s="94" t="s">
        <v>4434</v>
      </c>
      <c r="G12" s="52" t="s">
        <v>4341</v>
      </c>
    </row>
    <row r="13" spans="2:11">
      <c r="B13" s="351"/>
      <c r="C13" s="92" t="s">
        <v>4435</v>
      </c>
      <c r="D13" s="51" t="s">
        <v>4338</v>
      </c>
      <c r="E13" s="52" t="s">
        <v>4433</v>
      </c>
      <c r="F13" s="53" t="s">
        <v>4434</v>
      </c>
      <c r="G13" s="52" t="s">
        <v>4341</v>
      </c>
    </row>
    <row r="14" spans="2:11" ht="17.7" customHeight="1">
      <c r="B14" s="351"/>
      <c r="C14" s="92" t="s">
        <v>4436</v>
      </c>
      <c r="D14" s="51" t="s">
        <v>4338</v>
      </c>
      <c r="E14" s="52" t="s">
        <v>4433</v>
      </c>
      <c r="F14" s="53" t="s">
        <v>4434</v>
      </c>
      <c r="G14" s="52" t="s">
        <v>4344</v>
      </c>
    </row>
    <row r="15" spans="2:11" ht="17.100000000000001" customHeight="1">
      <c r="B15" s="351"/>
      <c r="C15" s="92" t="s">
        <v>4437</v>
      </c>
      <c r="D15" s="51" t="s">
        <v>4338</v>
      </c>
      <c r="E15" s="52" t="s">
        <v>4433</v>
      </c>
      <c r="F15" s="53" t="s">
        <v>4434</v>
      </c>
      <c r="G15" s="52" t="s">
        <v>4344</v>
      </c>
    </row>
    <row r="16" spans="2:11" ht="26.4">
      <c r="B16" s="351"/>
      <c r="C16" s="92" t="s">
        <v>4438</v>
      </c>
      <c r="D16" s="51" t="s">
        <v>4439</v>
      </c>
      <c r="E16" s="52" t="s">
        <v>4440</v>
      </c>
      <c r="F16" s="53" t="s">
        <v>4441</v>
      </c>
      <c r="G16" s="52" t="s">
        <v>4442</v>
      </c>
    </row>
    <row r="17" spans="2:7" ht="27" thickBot="1">
      <c r="B17" s="352"/>
      <c r="C17" s="95" t="s">
        <v>4443</v>
      </c>
      <c r="D17" s="96" t="s">
        <v>4444</v>
      </c>
      <c r="E17" s="97" t="s">
        <v>4445</v>
      </c>
      <c r="F17" s="98" t="s">
        <v>4446</v>
      </c>
      <c r="G17" s="97" t="s">
        <v>4447</v>
      </c>
    </row>
    <row r="18" spans="2:7" ht="52.8">
      <c r="B18" s="331" t="s">
        <v>4448</v>
      </c>
      <c r="C18" s="60" t="s">
        <v>4449</v>
      </c>
      <c r="D18" s="59" t="s">
        <v>4450</v>
      </c>
      <c r="E18" s="60" t="s">
        <v>4451</v>
      </c>
      <c r="F18" s="61" t="s">
        <v>4452</v>
      </c>
      <c r="G18" s="60" t="s">
        <v>4453</v>
      </c>
    </row>
    <row r="19" spans="2:7" ht="52.8">
      <c r="B19" s="317"/>
      <c r="C19" s="62" t="s">
        <v>4454</v>
      </c>
      <c r="D19" s="63" t="s">
        <v>4455</v>
      </c>
      <c r="E19" s="62" t="s">
        <v>4456</v>
      </c>
      <c r="F19" s="64" t="s">
        <v>4457</v>
      </c>
      <c r="G19" s="62" t="s">
        <v>4458</v>
      </c>
    </row>
    <row r="20" spans="2:7" ht="79.2">
      <c r="B20" s="317"/>
      <c r="C20" s="62" t="s">
        <v>4459</v>
      </c>
      <c r="D20" s="63" t="s">
        <v>4460</v>
      </c>
      <c r="E20" s="62" t="s">
        <v>4461</v>
      </c>
      <c r="F20" s="64" t="s">
        <v>4462</v>
      </c>
      <c r="G20" s="62" t="s">
        <v>4463</v>
      </c>
    </row>
    <row r="21" spans="2:7" ht="26.4">
      <c r="B21" s="317"/>
      <c r="C21" s="62" t="s">
        <v>4464</v>
      </c>
      <c r="D21" s="99" t="s">
        <v>4465</v>
      </c>
      <c r="E21" s="100" t="s">
        <v>4466</v>
      </c>
      <c r="F21" s="101" t="s">
        <v>4467</v>
      </c>
      <c r="G21" s="100" t="s">
        <v>4468</v>
      </c>
    </row>
    <row r="22" spans="2:7" ht="53.4" thickBot="1">
      <c r="B22" s="318"/>
      <c r="C22" s="65" t="s">
        <v>4469</v>
      </c>
      <c r="D22" s="66" t="s">
        <v>4470</v>
      </c>
      <c r="E22" s="65" t="s">
        <v>4471</v>
      </c>
      <c r="F22" s="67" t="s">
        <v>4472</v>
      </c>
      <c r="G22" s="65" t="s">
        <v>4473</v>
      </c>
    </row>
    <row r="23" spans="2:7" ht="39.6">
      <c r="B23" s="331" t="s">
        <v>4474</v>
      </c>
      <c r="C23" s="46" t="s">
        <v>4475</v>
      </c>
      <c r="D23" s="68" t="s">
        <v>3927</v>
      </c>
      <c r="E23" s="46" t="s">
        <v>4476</v>
      </c>
      <c r="F23" s="69" t="s">
        <v>4477</v>
      </c>
      <c r="G23" s="46" t="s">
        <v>4478</v>
      </c>
    </row>
    <row r="24" spans="2:7" ht="52.8">
      <c r="B24" s="317"/>
      <c r="C24" s="102" t="s">
        <v>4479</v>
      </c>
      <c r="D24" s="71" t="s">
        <v>4480</v>
      </c>
      <c r="E24" s="50" t="s">
        <v>4481</v>
      </c>
      <c r="F24" s="72" t="s">
        <v>4482</v>
      </c>
      <c r="G24" s="50" t="s">
        <v>4483</v>
      </c>
    </row>
    <row r="25" spans="2:7" ht="69.599999999999994" thickBot="1">
      <c r="B25" s="318"/>
      <c r="C25" s="103" t="s">
        <v>4484</v>
      </c>
      <c r="D25" s="104" t="s">
        <v>4485</v>
      </c>
      <c r="E25" s="105" t="s">
        <v>4486</v>
      </c>
      <c r="F25" s="106" t="s">
        <v>4487</v>
      </c>
      <c r="G25" s="105" t="s">
        <v>4488</v>
      </c>
    </row>
    <row r="26" spans="2:7" ht="52.8">
      <c r="B26" s="315" t="s">
        <v>4489</v>
      </c>
      <c r="C26" s="77" t="s">
        <v>4490</v>
      </c>
      <c r="D26" s="78" t="s">
        <v>4491</v>
      </c>
      <c r="E26" s="107" t="s">
        <v>4492</v>
      </c>
      <c r="F26" s="108" t="s">
        <v>4493</v>
      </c>
      <c r="G26" s="107" t="s">
        <v>4494</v>
      </c>
    </row>
    <row r="27" spans="2:7" ht="40.200000000000003" thickBot="1">
      <c r="B27" s="316"/>
      <c r="C27" s="80" t="s">
        <v>4495</v>
      </c>
      <c r="D27" s="109" t="s">
        <v>3927</v>
      </c>
      <c r="E27" s="80" t="s">
        <v>4496</v>
      </c>
      <c r="F27" s="82" t="s">
        <v>4497</v>
      </c>
      <c r="G27" s="80" t="s">
        <v>4498</v>
      </c>
    </row>
    <row r="28" spans="2:7" ht="52.8">
      <c r="B28" s="317" t="s">
        <v>4499</v>
      </c>
      <c r="C28" s="83" t="s">
        <v>4500</v>
      </c>
      <c r="D28" s="110" t="s">
        <v>4501</v>
      </c>
      <c r="E28" s="111" t="s">
        <v>4502</v>
      </c>
      <c r="F28" s="112" t="s">
        <v>4503</v>
      </c>
      <c r="G28" s="111" t="s">
        <v>4504</v>
      </c>
    </row>
    <row r="29" spans="2:7" ht="66.599999999999994" thickBot="1">
      <c r="B29" s="318"/>
      <c r="C29" s="86" t="s">
        <v>4505</v>
      </c>
      <c r="D29" s="87" t="s">
        <v>4506</v>
      </c>
      <c r="E29" s="86" t="s">
        <v>4507</v>
      </c>
      <c r="F29" s="88" t="s">
        <v>4508</v>
      </c>
      <c r="G29" s="86" t="s">
        <v>4509</v>
      </c>
    </row>
    <row r="31" spans="2:7">
      <c r="C31" s="90"/>
      <c r="E31" s="91"/>
      <c r="F31" s="91"/>
      <c r="G31" s="91"/>
    </row>
    <row r="45" spans="2:2">
      <c r="B45" s="23"/>
    </row>
    <row r="46" spans="2:2">
      <c r="B46" s="23"/>
    </row>
  </sheetData>
  <mergeCells count="19">
    <mergeCell ref="B1:G1"/>
    <mergeCell ref="B3:C5"/>
    <mergeCell ref="D3:G3"/>
    <mergeCell ref="D4:D5"/>
    <mergeCell ref="E4:E5"/>
    <mergeCell ref="F4:F5"/>
    <mergeCell ref="G4:G5"/>
    <mergeCell ref="B6:C7"/>
    <mergeCell ref="B9:C11"/>
    <mergeCell ref="D9:G9"/>
    <mergeCell ref="D10:D11"/>
    <mergeCell ref="E10:E11"/>
    <mergeCell ref="F10:F11"/>
    <mergeCell ref="G10:G11"/>
    <mergeCell ref="B12:B17"/>
    <mergeCell ref="B18:B22"/>
    <mergeCell ref="B23:B25"/>
    <mergeCell ref="B26:B27"/>
    <mergeCell ref="B28:B29"/>
  </mergeCells>
  <pageMargins left="0.7" right="0.7" top="0.75" bottom="0.75" header="0.3" footer="0.3"/>
  <pageSetup paperSize="9" scale="46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93"/>
  <sheetViews>
    <sheetView topLeftCell="A67" workbookViewId="0">
      <selection activeCell="A86" sqref="A86"/>
    </sheetView>
  </sheetViews>
  <sheetFormatPr defaultRowHeight="14.4"/>
  <cols>
    <col min="1" max="1" width="32.109375" bestFit="1" customWidth="1"/>
    <col min="3" max="3" width="39.33203125" customWidth="1"/>
    <col min="4" max="4" width="34.88671875" customWidth="1"/>
  </cols>
  <sheetData>
    <row r="2" spans="1:1">
      <c r="A2" s="1" t="s">
        <v>4510</v>
      </c>
    </row>
    <row r="3" spans="1:1">
      <c r="A3" s="13" t="s">
        <v>214</v>
      </c>
    </row>
    <row r="4" spans="1:1">
      <c r="A4" t="s">
        <v>198</v>
      </c>
    </row>
    <row r="5" spans="1:1">
      <c r="A5" t="s">
        <v>4511</v>
      </c>
    </row>
    <row r="6" spans="1:1">
      <c r="A6" t="s">
        <v>150</v>
      </c>
    </row>
    <row r="7" spans="1:1">
      <c r="A7" t="s">
        <v>1018</v>
      </c>
    </row>
    <row r="8" spans="1:1">
      <c r="A8" t="s">
        <v>1416</v>
      </c>
    </row>
    <row r="9" spans="1:1">
      <c r="A9" t="s">
        <v>1346</v>
      </c>
    </row>
    <row r="10" spans="1:1">
      <c r="A10" t="s">
        <v>15</v>
      </c>
    </row>
    <row r="11" spans="1:1">
      <c r="A11" t="s">
        <v>1153</v>
      </c>
    </row>
    <row r="12" spans="1:1">
      <c r="A12" t="s">
        <v>878</v>
      </c>
    </row>
    <row r="13" spans="1:1">
      <c r="A13" t="s">
        <v>238</v>
      </c>
    </row>
    <row r="14" spans="1:1">
      <c r="A14" t="s">
        <v>2009</v>
      </c>
    </row>
    <row r="15" spans="1:1">
      <c r="A15" t="s">
        <v>819</v>
      </c>
    </row>
    <row r="16" spans="1:1">
      <c r="A16" t="s">
        <v>2956</v>
      </c>
    </row>
    <row r="17" spans="1:2">
      <c r="A17" t="s">
        <v>156</v>
      </c>
    </row>
    <row r="18" spans="1:2">
      <c r="A18" t="s">
        <v>52</v>
      </c>
    </row>
    <row r="21" spans="1:2">
      <c r="A21" t="s">
        <v>212</v>
      </c>
      <c r="B21" t="s">
        <v>4512</v>
      </c>
    </row>
    <row r="22" spans="1:2">
      <c r="A22" t="s">
        <v>1408</v>
      </c>
      <c r="B22" t="s">
        <v>1083</v>
      </c>
    </row>
    <row r="23" spans="1:2">
      <c r="A23" t="s">
        <v>3883</v>
      </c>
      <c r="B23" t="s">
        <v>3983</v>
      </c>
    </row>
    <row r="24" spans="1:2">
      <c r="A24" t="s">
        <v>1723</v>
      </c>
      <c r="B24" t="s">
        <v>1756</v>
      </c>
    </row>
    <row r="25" spans="1:2">
      <c r="A25" t="s">
        <v>501</v>
      </c>
      <c r="B25" t="s">
        <v>4513</v>
      </c>
    </row>
    <row r="26" spans="1:2">
      <c r="A26" t="s">
        <v>2048</v>
      </c>
      <c r="B26" t="s">
        <v>4514</v>
      </c>
    </row>
    <row r="27" spans="1:2">
      <c r="A27" t="s">
        <v>3629</v>
      </c>
      <c r="B27" t="s">
        <v>3489</v>
      </c>
    </row>
    <row r="28" spans="1:2">
      <c r="A28" t="s">
        <v>1178</v>
      </c>
      <c r="B28" t="s">
        <v>4515</v>
      </c>
    </row>
    <row r="29" spans="1:2">
      <c r="A29" t="s">
        <v>2124</v>
      </c>
      <c r="B29" t="s">
        <v>2114</v>
      </c>
    </row>
    <row r="30" spans="1:2">
      <c r="A30" t="s">
        <v>318</v>
      </c>
      <c r="B30" t="s">
        <v>4516</v>
      </c>
    </row>
    <row r="31" spans="1:2">
      <c r="A31" t="s">
        <v>4057</v>
      </c>
      <c r="B31" t="s">
        <v>4517</v>
      </c>
    </row>
    <row r="32" spans="1:2">
      <c r="A32" t="s">
        <v>2196</v>
      </c>
      <c r="B32" t="s">
        <v>2170</v>
      </c>
    </row>
    <row r="33" spans="1:2">
      <c r="A33" t="s">
        <v>4518</v>
      </c>
      <c r="B33" t="s">
        <v>4519</v>
      </c>
    </row>
    <row r="34" spans="1:2">
      <c r="A34" t="s">
        <v>81</v>
      </c>
      <c r="B34" t="s">
        <v>11</v>
      </c>
    </row>
    <row r="35" spans="1:2">
      <c r="A35" t="s">
        <v>3891</v>
      </c>
      <c r="B35" t="s">
        <v>3852</v>
      </c>
    </row>
    <row r="36" spans="1:2">
      <c r="A36" t="s">
        <v>3694</v>
      </c>
      <c r="B36" t="s">
        <v>3695</v>
      </c>
    </row>
    <row r="37" spans="1:2">
      <c r="A37" t="s">
        <v>1698</v>
      </c>
      <c r="B37" t="s">
        <v>1535</v>
      </c>
    </row>
    <row r="38" spans="1:2">
      <c r="A38" t="s">
        <v>1519</v>
      </c>
      <c r="B38" t="s">
        <v>1097</v>
      </c>
    </row>
    <row r="39" spans="1:2">
      <c r="A39" t="s">
        <v>369</v>
      </c>
      <c r="B39" t="s">
        <v>4520</v>
      </c>
    </row>
    <row r="40" spans="1:2">
      <c r="A40" t="s">
        <v>4247</v>
      </c>
      <c r="B40" t="s">
        <v>4170</v>
      </c>
    </row>
    <row r="41" spans="1:2">
      <c r="A41" t="s">
        <v>1954</v>
      </c>
      <c r="B41" t="s">
        <v>1896</v>
      </c>
    </row>
    <row r="42" spans="1:2">
      <c r="A42" t="s">
        <v>390</v>
      </c>
      <c r="B42" t="s">
        <v>4521</v>
      </c>
    </row>
    <row r="43" spans="1:2">
      <c r="A43" t="s">
        <v>2443</v>
      </c>
      <c r="B43" t="s">
        <v>2360</v>
      </c>
    </row>
    <row r="44" spans="1:2">
      <c r="A44" t="s">
        <v>4522</v>
      </c>
      <c r="B44" t="s">
        <v>4523</v>
      </c>
    </row>
    <row r="45" spans="1:2">
      <c r="A45" t="s">
        <v>4524</v>
      </c>
      <c r="B45" t="s">
        <v>4525</v>
      </c>
    </row>
    <row r="46" spans="1:2">
      <c r="A46" t="s">
        <v>4526</v>
      </c>
      <c r="B46" t="s">
        <v>4527</v>
      </c>
    </row>
    <row r="47" spans="1:2">
      <c r="A47" t="s">
        <v>2683</v>
      </c>
      <c r="B47" t="s">
        <v>4528</v>
      </c>
    </row>
    <row r="48" spans="1:2">
      <c r="A48" t="s">
        <v>2697</v>
      </c>
      <c r="B48" t="s">
        <v>4529</v>
      </c>
    </row>
    <row r="49" spans="1:2">
      <c r="A49" t="s">
        <v>2709</v>
      </c>
      <c r="B49" t="s">
        <v>4530</v>
      </c>
    </row>
    <row r="50" spans="1:2">
      <c r="A50" t="s">
        <v>2911</v>
      </c>
      <c r="B50" t="s">
        <v>4531</v>
      </c>
    </row>
    <row r="51" spans="1:2">
      <c r="A51" t="s">
        <v>2814</v>
      </c>
      <c r="B51" t="s">
        <v>2815</v>
      </c>
    </row>
    <row r="52" spans="1:2">
      <c r="A52" t="s">
        <v>3479</v>
      </c>
      <c r="B52" t="s">
        <v>4532</v>
      </c>
    </row>
    <row r="53" spans="1:2">
      <c r="A53" t="s">
        <v>4533</v>
      </c>
      <c r="B53" t="s">
        <v>4534</v>
      </c>
    </row>
    <row r="54" spans="1:2">
      <c r="A54" t="s">
        <v>2918</v>
      </c>
      <c r="B54" t="s">
        <v>4535</v>
      </c>
    </row>
    <row r="55" spans="1:2">
      <c r="A55" t="s">
        <v>2954</v>
      </c>
      <c r="B55" t="s">
        <v>2955</v>
      </c>
    </row>
    <row r="56" spans="1:2">
      <c r="A56" t="s">
        <v>577</v>
      </c>
      <c r="B56" t="s">
        <v>4536</v>
      </c>
    </row>
    <row r="57" spans="1:2">
      <c r="A57" t="s">
        <v>2313</v>
      </c>
      <c r="B57" t="s">
        <v>2294</v>
      </c>
    </row>
    <row r="58" spans="1:2">
      <c r="A58" t="s">
        <v>533</v>
      </c>
      <c r="B58" t="s">
        <v>4537</v>
      </c>
    </row>
    <row r="59" spans="1:2">
      <c r="A59" t="s">
        <v>1391</v>
      </c>
      <c r="B59" t="s">
        <v>4538</v>
      </c>
    </row>
    <row r="60" spans="1:2">
      <c r="A60" t="s">
        <v>4077</v>
      </c>
      <c r="B60" t="s">
        <v>4539</v>
      </c>
    </row>
    <row r="61" spans="1:2">
      <c r="A61" t="s">
        <v>261</v>
      </c>
      <c r="B61" t="s">
        <v>4540</v>
      </c>
    </row>
    <row r="62" spans="1:2">
      <c r="A62" t="s">
        <v>2980</v>
      </c>
      <c r="B62" t="s">
        <v>4541</v>
      </c>
    </row>
    <row r="63" spans="1:2">
      <c r="A63" t="s">
        <v>613</v>
      </c>
      <c r="B63" t="s">
        <v>4542</v>
      </c>
    </row>
    <row r="66" spans="1:6">
      <c r="B66" s="113">
        <v>1</v>
      </c>
      <c r="C66" s="114" t="s">
        <v>4431</v>
      </c>
    </row>
    <row r="67" spans="1:6">
      <c r="B67" s="113">
        <v>2</v>
      </c>
      <c r="C67" s="114" t="s">
        <v>4543</v>
      </c>
    </row>
    <row r="68" spans="1:6">
      <c r="B68" s="113">
        <v>3</v>
      </c>
      <c r="C68" s="114" t="s">
        <v>4469</v>
      </c>
    </row>
    <row r="69" spans="1:6">
      <c r="B69" s="113">
        <v>4</v>
      </c>
      <c r="C69" s="114" t="s">
        <v>4544</v>
      </c>
    </row>
    <row r="70" spans="1:6">
      <c r="B70" s="113">
        <v>5</v>
      </c>
      <c r="C70" s="115" t="s">
        <v>4545</v>
      </c>
    </row>
    <row r="71" spans="1:6">
      <c r="B71" s="113">
        <v>6</v>
      </c>
      <c r="C71" s="116" t="s">
        <v>4546</v>
      </c>
    </row>
    <row r="72" spans="1:6">
      <c r="B72" s="113">
        <v>7</v>
      </c>
      <c r="C72" s="115" t="s">
        <v>4547</v>
      </c>
    </row>
    <row r="73" spans="1:6">
      <c r="B73" s="113">
        <v>8</v>
      </c>
      <c r="C73" s="115" t="s">
        <v>4548</v>
      </c>
    </row>
    <row r="76" spans="1:6">
      <c r="A76" s="16" t="s">
        <v>4549</v>
      </c>
      <c r="C76" s="117" t="s">
        <v>4550</v>
      </c>
    </row>
    <row r="77" spans="1:6">
      <c r="A77" s="16" t="s">
        <v>4551</v>
      </c>
      <c r="C77" s="117" t="s">
        <v>4552</v>
      </c>
      <c r="E77" s="119" t="s">
        <v>4553</v>
      </c>
      <c r="F77" s="119" t="s">
        <v>4554</v>
      </c>
    </row>
    <row r="78" spans="1:6">
      <c r="A78" s="16" t="s">
        <v>4555</v>
      </c>
      <c r="C78" s="117" t="s">
        <v>4556</v>
      </c>
      <c r="E78" s="120" t="s">
        <v>3927</v>
      </c>
      <c r="F78" s="121" t="s">
        <v>3927</v>
      </c>
    </row>
    <row r="79" spans="1:6">
      <c r="A79" s="16" t="s">
        <v>4557</v>
      </c>
      <c r="C79" s="117" t="s">
        <v>4558</v>
      </c>
      <c r="E79" s="122">
        <v>1</v>
      </c>
      <c r="F79" s="123">
        <v>1</v>
      </c>
    </row>
    <row r="80" spans="1:6">
      <c r="A80" s="16" t="s">
        <v>4559</v>
      </c>
      <c r="C80" s="117" t="s">
        <v>4560</v>
      </c>
      <c r="E80" s="124">
        <v>2</v>
      </c>
      <c r="F80" s="125">
        <v>2</v>
      </c>
    </row>
    <row r="81" spans="1:6">
      <c r="A81" s="16" t="s">
        <v>4561</v>
      </c>
      <c r="C81" s="117" t="s">
        <v>4562</v>
      </c>
      <c r="E81" s="126">
        <v>3</v>
      </c>
      <c r="F81" s="127">
        <v>3</v>
      </c>
    </row>
    <row r="82" spans="1:6">
      <c r="A82" s="16" t="s">
        <v>4563</v>
      </c>
      <c r="C82" s="118" t="s">
        <v>4564</v>
      </c>
      <c r="E82" s="128">
        <v>4</v>
      </c>
      <c r="F82" s="129">
        <v>4</v>
      </c>
    </row>
    <row r="83" spans="1:6">
      <c r="C83" s="117" t="s">
        <v>4565</v>
      </c>
    </row>
    <row r="84" spans="1:6">
      <c r="C84" s="117" t="s">
        <v>4566</v>
      </c>
    </row>
    <row r="85" spans="1:6">
      <c r="C85" s="117" t="s">
        <v>4567</v>
      </c>
    </row>
    <row r="86" spans="1:6">
      <c r="C86" s="117" t="s">
        <v>4568</v>
      </c>
    </row>
    <row r="87" spans="1:6">
      <c r="C87" s="117" t="s">
        <v>4569</v>
      </c>
    </row>
    <row r="88" spans="1:6">
      <c r="C88" s="118" t="s">
        <v>4570</v>
      </c>
    </row>
    <row r="89" spans="1:6">
      <c r="C89" s="117" t="s">
        <v>4571</v>
      </c>
    </row>
    <row r="90" spans="1:6">
      <c r="C90" s="117" t="s">
        <v>4572</v>
      </c>
    </row>
    <row r="91" spans="1:6">
      <c r="C91" s="117" t="s">
        <v>4573</v>
      </c>
    </row>
    <row r="92" spans="1:6">
      <c r="C92" s="117" t="s">
        <v>4574</v>
      </c>
    </row>
    <row r="93" spans="1:6">
      <c r="C93" s="117" t="s">
        <v>4575</v>
      </c>
    </row>
  </sheetData>
  <sortState xmlns:xlrd2="http://schemas.microsoft.com/office/spreadsheetml/2017/richdata2" ref="A21:B63">
    <sortCondition ref="B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Y20"/>
  <sheetViews>
    <sheetView showGridLines="0" tabSelected="1" zoomScale="70" zoomScaleNormal="70" workbookViewId="0">
      <selection activeCell="S3" sqref="S3"/>
    </sheetView>
  </sheetViews>
  <sheetFormatPr defaultRowHeight="14.4"/>
  <cols>
    <col min="1" max="1" width="17.44140625" customWidth="1"/>
    <col min="2" max="2" width="45.6640625" customWidth="1"/>
    <col min="3" max="11" width="5.6640625" customWidth="1"/>
    <col min="12" max="14" width="8.6640625" customWidth="1"/>
    <col min="15" max="15" width="13.88671875" customWidth="1"/>
    <col min="16" max="16" width="14.44140625" customWidth="1"/>
    <col min="17" max="17" width="15.88671875" customWidth="1"/>
    <col min="18" max="18" width="18.44140625" customWidth="1"/>
    <col min="19" max="19" width="23.33203125" customWidth="1"/>
    <col min="20" max="20" width="15.21875" customWidth="1"/>
    <col min="21" max="21" width="18.44140625" customWidth="1"/>
  </cols>
  <sheetData>
    <row r="1" spans="1:21" s="248" customFormat="1" ht="84" customHeight="1" thickBot="1">
      <c r="A1" s="310" t="s">
        <v>4661</v>
      </c>
      <c r="B1" s="286" t="s">
        <v>4611</v>
      </c>
      <c r="C1" s="185" t="s">
        <v>4618</v>
      </c>
      <c r="D1" s="185" t="s">
        <v>4619</v>
      </c>
      <c r="E1" s="185" t="s">
        <v>4620</v>
      </c>
      <c r="F1" s="185" t="s">
        <v>4621</v>
      </c>
      <c r="G1" s="185" t="s">
        <v>4622</v>
      </c>
      <c r="H1" s="185" t="s">
        <v>4623</v>
      </c>
      <c r="I1" s="185" t="s">
        <v>4624</v>
      </c>
      <c r="J1" s="185" t="s">
        <v>4625</v>
      </c>
      <c r="K1" s="185" t="s">
        <v>5019</v>
      </c>
      <c r="L1" s="285" t="s">
        <v>4613</v>
      </c>
      <c r="M1" s="285" t="s">
        <v>4614</v>
      </c>
      <c r="N1" s="285" t="s">
        <v>4615</v>
      </c>
      <c r="O1" s="497" t="s">
        <v>4700</v>
      </c>
      <c r="P1" s="498" t="s">
        <v>4701</v>
      </c>
      <c r="Q1" s="499" t="s">
        <v>4703</v>
      </c>
      <c r="R1" s="481" t="s">
        <v>5022</v>
      </c>
      <c r="S1" s="314" t="s">
        <v>5021</v>
      </c>
      <c r="T1" s="314" t="s">
        <v>5023</v>
      </c>
      <c r="U1" s="500" t="s">
        <v>5024</v>
      </c>
    </row>
    <row r="2" spans="1:21" s="248" customFormat="1" ht="177.6" customHeight="1" thickBot="1">
      <c r="A2" s="311" t="s">
        <v>4587</v>
      </c>
      <c r="B2" s="246" t="s">
        <v>5016</v>
      </c>
      <c r="C2" s="312">
        <v>1</v>
      </c>
      <c r="D2" s="312">
        <v>1</v>
      </c>
      <c r="E2" s="312">
        <v>1</v>
      </c>
      <c r="F2" s="312">
        <v>1</v>
      </c>
      <c r="G2" s="194">
        <v>2</v>
      </c>
      <c r="H2" s="194">
        <v>2</v>
      </c>
      <c r="I2" s="194">
        <v>3</v>
      </c>
      <c r="J2" s="194">
        <v>4</v>
      </c>
      <c r="K2" s="181">
        <f>SUM(C2*8)+(D2*7)+(E2*6)+(F2*5)+(G2*4)+(H2*3)+(I2*2)+(J2*1)</f>
        <v>50</v>
      </c>
      <c r="L2" s="290" t="s">
        <v>4646</v>
      </c>
      <c r="M2" s="291" t="s">
        <v>4662</v>
      </c>
      <c r="N2" s="288">
        <v>1</v>
      </c>
      <c r="O2" s="482" t="s">
        <v>5018</v>
      </c>
      <c r="P2" s="483" t="s">
        <v>5020</v>
      </c>
      <c r="Q2" s="313"/>
      <c r="R2" s="485">
        <v>6</v>
      </c>
      <c r="S2" s="485">
        <v>3</v>
      </c>
      <c r="T2" s="485">
        <v>0</v>
      </c>
      <c r="U2" s="486">
        <f>(S2+T2)/(R2*100)</f>
        <v>5.0000000000000001E-3</v>
      </c>
    </row>
    <row r="3" spans="1:21" s="248" customFormat="1" ht="74.400000000000006" customHeight="1" thickBot="1">
      <c r="A3" s="289" t="s">
        <v>4663</v>
      </c>
      <c r="B3" s="246" t="s">
        <v>5016</v>
      </c>
      <c r="C3" s="191">
        <v>1</v>
      </c>
      <c r="D3" s="191">
        <v>1</v>
      </c>
      <c r="E3" s="191">
        <v>1</v>
      </c>
      <c r="F3" s="191">
        <v>1</v>
      </c>
      <c r="G3" s="191">
        <v>2</v>
      </c>
      <c r="H3" s="191">
        <v>2</v>
      </c>
      <c r="I3" s="191">
        <v>2</v>
      </c>
      <c r="J3" s="191">
        <v>2</v>
      </c>
      <c r="K3" s="192">
        <f t="shared" ref="K3:K5" si="0">SUM(C3*8)+(D3*7)+(E3*6)+(F3*5)+(G3*4)+(H3*3)+(I3*2)+(J3*1)</f>
        <v>46</v>
      </c>
      <c r="L3" s="290" t="s">
        <v>4646</v>
      </c>
      <c r="M3" s="291" t="s">
        <v>4662</v>
      </c>
      <c r="N3" s="288">
        <v>1</v>
      </c>
      <c r="O3" s="487" t="s">
        <v>4716</v>
      </c>
      <c r="P3" s="488" t="s">
        <v>4939</v>
      </c>
      <c r="Q3" s="487" t="s">
        <v>4979</v>
      </c>
      <c r="R3" s="485">
        <v>3</v>
      </c>
      <c r="S3" s="485">
        <v>5</v>
      </c>
      <c r="T3" s="485">
        <v>3</v>
      </c>
      <c r="U3" s="486">
        <f t="shared" ref="U3:U20" si="1">(S3+T3)/(R3*100)</f>
        <v>2.6666666666666668E-2</v>
      </c>
    </row>
    <row r="4" spans="1:21" s="248" customFormat="1" ht="69.599999999999994" customHeight="1" thickBot="1">
      <c r="A4" s="289" t="s">
        <v>4664</v>
      </c>
      <c r="B4" s="246" t="s">
        <v>5016</v>
      </c>
      <c r="C4" s="183">
        <v>1</v>
      </c>
      <c r="D4" s="182">
        <v>1</v>
      </c>
      <c r="E4" s="183">
        <v>1</v>
      </c>
      <c r="F4" s="182">
        <v>1</v>
      </c>
      <c r="G4" s="183">
        <v>2</v>
      </c>
      <c r="H4" s="182">
        <v>2</v>
      </c>
      <c r="I4" s="183">
        <v>3</v>
      </c>
      <c r="J4" s="182">
        <v>4</v>
      </c>
      <c r="K4" s="181">
        <f t="shared" si="0"/>
        <v>50</v>
      </c>
      <c r="L4" s="290" t="s">
        <v>4646</v>
      </c>
      <c r="M4" s="291" t="s">
        <v>4662</v>
      </c>
      <c r="N4" s="288">
        <v>1</v>
      </c>
      <c r="O4" s="487" t="s">
        <v>4940</v>
      </c>
      <c r="P4" s="488" t="s">
        <v>4941</v>
      </c>
      <c r="Q4" s="487" t="s">
        <v>4717</v>
      </c>
      <c r="R4" s="485">
        <v>2</v>
      </c>
      <c r="S4" s="485">
        <v>3</v>
      </c>
      <c r="T4" s="485">
        <v>1</v>
      </c>
      <c r="U4" s="486">
        <f t="shared" si="1"/>
        <v>0.02</v>
      </c>
    </row>
    <row r="5" spans="1:21" s="248" customFormat="1" ht="55.2" customHeight="1" thickBot="1">
      <c r="A5" s="289" t="s">
        <v>4665</v>
      </c>
      <c r="B5" s="246" t="s">
        <v>5016</v>
      </c>
      <c r="C5" s="180">
        <v>1</v>
      </c>
      <c r="D5" s="179">
        <v>1</v>
      </c>
      <c r="E5" s="180">
        <v>1</v>
      </c>
      <c r="F5" s="179">
        <v>1</v>
      </c>
      <c r="G5" s="180">
        <v>2</v>
      </c>
      <c r="H5" s="179">
        <v>3</v>
      </c>
      <c r="I5" s="180">
        <v>4</v>
      </c>
      <c r="J5" s="179">
        <v>4</v>
      </c>
      <c r="K5" s="192">
        <f t="shared" si="0"/>
        <v>55</v>
      </c>
      <c r="L5" s="283" t="s">
        <v>4666</v>
      </c>
      <c r="M5" s="284" t="s">
        <v>4662</v>
      </c>
      <c r="N5" s="288">
        <v>1</v>
      </c>
      <c r="O5" s="487" t="s">
        <v>4980</v>
      </c>
      <c r="P5" s="487" t="s">
        <v>4944</v>
      </c>
      <c r="Q5" s="489" t="s">
        <v>4718</v>
      </c>
      <c r="R5" s="485">
        <v>3</v>
      </c>
      <c r="S5" s="485">
        <v>5</v>
      </c>
      <c r="T5" s="485">
        <v>2</v>
      </c>
      <c r="U5" s="486">
        <f t="shared" si="1"/>
        <v>2.3333333333333334E-2</v>
      </c>
    </row>
    <row r="6" spans="1:21" s="248" customFormat="1" ht="52.2" customHeight="1" thickBot="1">
      <c r="A6" s="289" t="s">
        <v>4667</v>
      </c>
      <c r="B6" s="246" t="s">
        <v>5016</v>
      </c>
      <c r="C6" s="180">
        <v>1</v>
      </c>
      <c r="D6" s="179">
        <v>1</v>
      </c>
      <c r="E6" s="180">
        <v>1</v>
      </c>
      <c r="F6" s="179">
        <v>1</v>
      </c>
      <c r="G6" s="180">
        <v>1</v>
      </c>
      <c r="H6" s="180">
        <v>1</v>
      </c>
      <c r="I6" s="180">
        <v>1</v>
      </c>
      <c r="J6" s="180">
        <v>1</v>
      </c>
      <c r="K6" s="192">
        <f t="shared" ref="K6" si="2">SUM(C6*8)+(D6*7)+(E6*6)+(F6*5)+(G6*4)+(H6*3)+(I6*2)+(J6*1)</f>
        <v>36</v>
      </c>
      <c r="L6" s="283" t="s">
        <v>4666</v>
      </c>
      <c r="M6" s="284" t="s">
        <v>4662</v>
      </c>
      <c r="N6" s="288">
        <v>1</v>
      </c>
      <c r="O6" s="490" t="s">
        <v>4942</v>
      </c>
      <c r="P6" s="491" t="s">
        <v>4943</v>
      </c>
      <c r="Q6" s="487" t="s">
        <v>4981</v>
      </c>
      <c r="R6" s="485">
        <v>1</v>
      </c>
      <c r="S6" s="485">
        <v>3</v>
      </c>
      <c r="T6" s="485">
        <v>2</v>
      </c>
      <c r="U6" s="486">
        <f t="shared" si="1"/>
        <v>0.05</v>
      </c>
    </row>
    <row r="7" spans="1:21" s="248" customFormat="1" ht="157.19999999999999" thickBot="1">
      <c r="A7" s="289" t="s">
        <v>4668</v>
      </c>
      <c r="B7" s="246" t="s">
        <v>5016</v>
      </c>
      <c r="C7" s="180">
        <v>1</v>
      </c>
      <c r="D7" s="179">
        <v>1</v>
      </c>
      <c r="E7" s="180">
        <v>1</v>
      </c>
      <c r="F7" s="179">
        <v>1</v>
      </c>
      <c r="G7" s="180">
        <v>2</v>
      </c>
      <c r="H7" s="180">
        <v>2</v>
      </c>
      <c r="I7" s="180">
        <v>3</v>
      </c>
      <c r="J7" s="180">
        <v>3</v>
      </c>
      <c r="K7" s="192">
        <f t="shared" ref="K7:K8" si="3">SUM(C7*8)+(D7*7)+(E7*6)+(F7*5)+(G7*4)+(H7*3)+(I7*2)+(J7*1)</f>
        <v>49</v>
      </c>
      <c r="L7" s="283" t="s">
        <v>4646</v>
      </c>
      <c r="M7" s="284" t="s">
        <v>4662</v>
      </c>
      <c r="N7" s="288">
        <v>1</v>
      </c>
      <c r="O7" s="490" t="s">
        <v>4947</v>
      </c>
      <c r="P7" s="487" t="s">
        <v>4945</v>
      </c>
      <c r="Q7" s="491" t="s">
        <v>4938</v>
      </c>
      <c r="R7" s="485">
        <v>2</v>
      </c>
      <c r="S7" s="485">
        <v>3</v>
      </c>
      <c r="T7" s="485">
        <v>2</v>
      </c>
      <c r="U7" s="486">
        <f t="shared" si="1"/>
        <v>2.5000000000000001E-2</v>
      </c>
    </row>
    <row r="8" spans="1:21" s="248" customFormat="1" ht="54" customHeight="1" thickBot="1">
      <c r="A8" s="289" t="s">
        <v>5017</v>
      </c>
      <c r="B8" s="246" t="s">
        <v>5016</v>
      </c>
      <c r="C8" s="180">
        <v>1</v>
      </c>
      <c r="D8" s="179">
        <v>1</v>
      </c>
      <c r="E8" s="180">
        <v>1</v>
      </c>
      <c r="F8" s="179">
        <v>1</v>
      </c>
      <c r="G8" s="180">
        <v>2</v>
      </c>
      <c r="H8" s="180">
        <v>2</v>
      </c>
      <c r="I8" s="180">
        <v>3</v>
      </c>
      <c r="J8" s="180">
        <v>3</v>
      </c>
      <c r="K8" s="192">
        <f t="shared" si="3"/>
        <v>49</v>
      </c>
      <c r="L8" s="283" t="s">
        <v>4669</v>
      </c>
      <c r="M8" s="283" t="s">
        <v>4669</v>
      </c>
      <c r="N8" s="288">
        <v>1</v>
      </c>
      <c r="O8" s="490" t="s">
        <v>4946</v>
      </c>
      <c r="P8" s="490" t="s">
        <v>4984</v>
      </c>
      <c r="Q8" s="491" t="s">
        <v>4719</v>
      </c>
      <c r="R8" s="486">
        <v>2</v>
      </c>
      <c r="S8" s="486">
        <v>6</v>
      </c>
      <c r="T8" s="486">
        <v>1</v>
      </c>
      <c r="U8" s="486">
        <f t="shared" si="1"/>
        <v>3.5000000000000003E-2</v>
      </c>
    </row>
    <row r="9" spans="1:21" s="248" customFormat="1" ht="79.2" customHeight="1" thickBot="1">
      <c r="A9" s="289" t="s">
        <v>4670</v>
      </c>
      <c r="B9" s="246" t="s">
        <v>5016</v>
      </c>
      <c r="C9" s="180">
        <v>1</v>
      </c>
      <c r="D9" s="179">
        <v>1</v>
      </c>
      <c r="E9" s="180">
        <v>1</v>
      </c>
      <c r="F9" s="179">
        <v>1</v>
      </c>
      <c r="G9" s="180">
        <v>2</v>
      </c>
      <c r="H9" s="180">
        <v>2</v>
      </c>
      <c r="I9" s="180">
        <v>3</v>
      </c>
      <c r="J9" s="180">
        <v>3</v>
      </c>
      <c r="K9" s="192">
        <f t="shared" ref="K9:K10" si="4">SUM(C9*8)+(D9*7)+(E9*6)+(F9*5)+(G9*4)+(H9*3)+(I9*2)+(J9*1)</f>
        <v>49</v>
      </c>
      <c r="L9" s="283" t="s">
        <v>4669</v>
      </c>
      <c r="M9" s="283" t="s">
        <v>4669</v>
      </c>
      <c r="N9" s="288">
        <v>1</v>
      </c>
      <c r="O9" s="490" t="s">
        <v>4982</v>
      </c>
      <c r="P9" s="491" t="s">
        <v>4983</v>
      </c>
      <c r="Q9" s="487" t="s">
        <v>4720</v>
      </c>
      <c r="R9" s="486">
        <v>1</v>
      </c>
      <c r="S9" s="486">
        <v>3</v>
      </c>
      <c r="T9" s="486">
        <v>1</v>
      </c>
      <c r="U9" s="486">
        <f t="shared" si="1"/>
        <v>0.04</v>
      </c>
    </row>
    <row r="10" spans="1:21" s="248" customFormat="1" ht="57.6" customHeight="1" thickBot="1">
      <c r="A10" s="287" t="s">
        <v>4671</v>
      </c>
      <c r="B10" s="246" t="s">
        <v>5016</v>
      </c>
      <c r="C10" s="180">
        <v>1</v>
      </c>
      <c r="D10" s="179">
        <v>1</v>
      </c>
      <c r="E10" s="180">
        <v>1</v>
      </c>
      <c r="F10" s="179">
        <v>1</v>
      </c>
      <c r="G10" s="180">
        <v>2</v>
      </c>
      <c r="H10" s="180">
        <v>2</v>
      </c>
      <c r="I10" s="180">
        <v>3</v>
      </c>
      <c r="J10" s="180">
        <v>3</v>
      </c>
      <c r="K10" s="192">
        <f t="shared" si="4"/>
        <v>49</v>
      </c>
      <c r="L10" s="283" t="s">
        <v>4669</v>
      </c>
      <c r="M10" s="283" t="s">
        <v>4669</v>
      </c>
      <c r="N10" s="288">
        <v>1</v>
      </c>
      <c r="O10" s="492" t="s">
        <v>4948</v>
      </c>
      <c r="P10" s="492" t="s">
        <v>4949</v>
      </c>
      <c r="Q10" s="491" t="s">
        <v>4985</v>
      </c>
      <c r="R10" s="486">
        <v>2</v>
      </c>
      <c r="S10" s="486">
        <v>4</v>
      </c>
      <c r="T10" s="486">
        <v>2</v>
      </c>
      <c r="U10" s="486">
        <f t="shared" si="1"/>
        <v>0.03</v>
      </c>
    </row>
    <row r="11" spans="1:21" s="248" customFormat="1" ht="84.6" customHeight="1" thickBot="1">
      <c r="A11" s="289" t="s">
        <v>4672</v>
      </c>
      <c r="B11" s="246" t="s">
        <v>5016</v>
      </c>
      <c r="C11" s="180">
        <v>1</v>
      </c>
      <c r="D11" s="179">
        <v>1</v>
      </c>
      <c r="E11" s="180">
        <v>1</v>
      </c>
      <c r="F11" s="179">
        <v>1</v>
      </c>
      <c r="G11" s="180">
        <v>2</v>
      </c>
      <c r="H11" s="180">
        <v>2</v>
      </c>
      <c r="I11" s="180">
        <v>3</v>
      </c>
      <c r="J11" s="180">
        <v>3</v>
      </c>
      <c r="K11" s="192">
        <f t="shared" ref="K11" si="5">SUM(C11*8)+(D11*7)+(E11*6)+(F11*5)+(G11*4)+(H11*3)+(I11*2)+(J11*1)</f>
        <v>49</v>
      </c>
      <c r="L11" s="283" t="s">
        <v>4669</v>
      </c>
      <c r="M11" s="283" t="s">
        <v>4669</v>
      </c>
      <c r="N11" s="288">
        <v>1</v>
      </c>
      <c r="O11" s="493" t="s">
        <v>4959</v>
      </c>
      <c r="P11" s="493" t="s">
        <v>4950</v>
      </c>
      <c r="Q11" s="491" t="s">
        <v>4986</v>
      </c>
      <c r="R11" s="486">
        <v>2</v>
      </c>
      <c r="S11" s="486">
        <v>2</v>
      </c>
      <c r="T11" s="486">
        <v>2</v>
      </c>
      <c r="U11" s="486">
        <f t="shared" si="1"/>
        <v>0.02</v>
      </c>
    </row>
    <row r="12" spans="1:21" s="248" customFormat="1" ht="63.6" customHeight="1" thickBot="1">
      <c r="A12" s="289" t="s">
        <v>4673</v>
      </c>
      <c r="B12" s="246" t="s">
        <v>5016</v>
      </c>
      <c r="C12" s="180">
        <v>1</v>
      </c>
      <c r="D12" s="179">
        <v>1</v>
      </c>
      <c r="E12" s="180">
        <v>1</v>
      </c>
      <c r="F12" s="179">
        <v>1</v>
      </c>
      <c r="G12" s="180">
        <v>2</v>
      </c>
      <c r="H12" s="180">
        <v>2</v>
      </c>
      <c r="I12" s="180">
        <v>3</v>
      </c>
      <c r="J12" s="180">
        <v>3</v>
      </c>
      <c r="K12" s="192">
        <f t="shared" ref="K12:K13" si="6">SUM(C12*8)+(D12*7)+(E12*6)+(F12*5)+(G12*4)+(H12*3)+(I12*2)+(J12*1)</f>
        <v>49</v>
      </c>
      <c r="L12" s="283" t="s">
        <v>4669</v>
      </c>
      <c r="M12" s="283" t="s">
        <v>4669</v>
      </c>
      <c r="N12" s="288">
        <v>1</v>
      </c>
      <c r="O12" s="493" t="s">
        <v>4962</v>
      </c>
      <c r="P12" s="491" t="s">
        <v>4963</v>
      </c>
      <c r="Q12" s="491" t="s">
        <v>4987</v>
      </c>
      <c r="R12" s="486">
        <v>5</v>
      </c>
      <c r="S12" s="486">
        <v>5</v>
      </c>
      <c r="T12" s="486">
        <v>2</v>
      </c>
      <c r="U12" s="486">
        <f t="shared" si="1"/>
        <v>1.4E-2</v>
      </c>
    </row>
    <row r="13" spans="1:21" s="248" customFormat="1" ht="124.8" customHeight="1" thickBot="1">
      <c r="A13" s="287" t="s">
        <v>4674</v>
      </c>
      <c r="B13" s="246" t="s">
        <v>5016</v>
      </c>
      <c r="C13" s="180">
        <v>1</v>
      </c>
      <c r="D13" s="179">
        <v>1</v>
      </c>
      <c r="E13" s="180">
        <v>1</v>
      </c>
      <c r="F13" s="179">
        <v>1</v>
      </c>
      <c r="G13" s="180">
        <v>2</v>
      </c>
      <c r="H13" s="180">
        <v>2</v>
      </c>
      <c r="I13" s="180">
        <v>3</v>
      </c>
      <c r="J13" s="180">
        <v>3</v>
      </c>
      <c r="K13" s="192">
        <f t="shared" si="6"/>
        <v>49</v>
      </c>
      <c r="L13" s="283" t="s">
        <v>4675</v>
      </c>
      <c r="M13" s="283" t="s">
        <v>4675</v>
      </c>
      <c r="N13" s="288">
        <v>1</v>
      </c>
      <c r="O13" s="492" t="s">
        <v>4989</v>
      </c>
      <c r="P13" s="488" t="s">
        <v>4988</v>
      </c>
      <c r="Q13" s="491" t="s">
        <v>4990</v>
      </c>
      <c r="R13" s="486">
        <v>3</v>
      </c>
      <c r="S13" s="486">
        <v>4</v>
      </c>
      <c r="T13" s="486">
        <v>2</v>
      </c>
      <c r="U13" s="486">
        <f t="shared" si="1"/>
        <v>0.02</v>
      </c>
    </row>
    <row r="14" spans="1:21" s="248" customFormat="1" ht="170.4" customHeight="1" thickBot="1">
      <c r="A14" s="287" t="s">
        <v>4676</v>
      </c>
      <c r="B14" s="246" t="s">
        <v>5016</v>
      </c>
      <c r="C14" s="180">
        <v>1</v>
      </c>
      <c r="D14" s="179">
        <v>1</v>
      </c>
      <c r="E14" s="180">
        <v>1</v>
      </c>
      <c r="F14" s="179">
        <v>1</v>
      </c>
      <c r="G14" s="180">
        <v>2</v>
      </c>
      <c r="H14" s="180">
        <v>2</v>
      </c>
      <c r="I14" s="180">
        <v>3</v>
      </c>
      <c r="J14" s="180">
        <v>3</v>
      </c>
      <c r="K14" s="192">
        <f t="shared" ref="K14" si="7">SUM(C14*8)+(D14*7)+(E14*6)+(F14*5)+(G14*4)+(H14*3)+(I14*2)+(J14*1)</f>
        <v>49</v>
      </c>
      <c r="L14" s="283" t="s">
        <v>4669</v>
      </c>
      <c r="M14" s="283" t="s">
        <v>4669</v>
      </c>
      <c r="N14" s="288">
        <v>1</v>
      </c>
      <c r="O14" s="493" t="s">
        <v>4960</v>
      </c>
      <c r="P14" s="491" t="s">
        <v>4951</v>
      </c>
      <c r="Q14" s="487" t="s">
        <v>4721</v>
      </c>
      <c r="R14" s="486">
        <v>2</v>
      </c>
      <c r="S14" s="486">
        <v>6</v>
      </c>
      <c r="T14" s="486">
        <v>2</v>
      </c>
      <c r="U14" s="486">
        <f t="shared" si="1"/>
        <v>0.04</v>
      </c>
    </row>
    <row r="15" spans="1:21" s="248" customFormat="1" ht="148.80000000000001" customHeight="1" thickBot="1">
      <c r="A15" s="287" t="s">
        <v>4677</v>
      </c>
      <c r="B15" s="246" t="s">
        <v>5016</v>
      </c>
      <c r="C15" s="180">
        <v>1</v>
      </c>
      <c r="D15" s="179">
        <v>1</v>
      </c>
      <c r="E15" s="180">
        <v>1</v>
      </c>
      <c r="F15" s="179">
        <v>1</v>
      </c>
      <c r="G15" s="180">
        <v>2</v>
      </c>
      <c r="H15" s="180">
        <v>2</v>
      </c>
      <c r="I15" s="180">
        <v>3</v>
      </c>
      <c r="J15" s="180">
        <v>3</v>
      </c>
      <c r="K15" s="192">
        <f t="shared" ref="K15" si="8">SUM(C15*8)+(D15*7)+(E15*6)+(F15*5)+(G15*4)+(H15*3)+(I15*2)+(J15*1)</f>
        <v>49</v>
      </c>
      <c r="L15" s="283" t="s">
        <v>4669</v>
      </c>
      <c r="M15" s="283" t="s">
        <v>4669</v>
      </c>
      <c r="N15" s="288">
        <v>1</v>
      </c>
      <c r="O15" s="488" t="s">
        <v>4961</v>
      </c>
      <c r="P15" s="487" t="s">
        <v>4952</v>
      </c>
      <c r="Q15" s="494" t="s">
        <v>4927</v>
      </c>
      <c r="R15" s="486">
        <v>2</v>
      </c>
      <c r="S15" s="486">
        <v>6</v>
      </c>
      <c r="T15" s="486">
        <v>1</v>
      </c>
      <c r="U15" s="486">
        <f t="shared" si="1"/>
        <v>3.5000000000000003E-2</v>
      </c>
    </row>
    <row r="16" spans="1:21" s="248" customFormat="1" ht="88.2" customHeight="1" thickBot="1">
      <c r="A16" s="287" t="s">
        <v>4678</v>
      </c>
      <c r="B16" s="246" t="s">
        <v>5016</v>
      </c>
      <c r="C16" s="180">
        <v>1</v>
      </c>
      <c r="D16" s="179">
        <v>1</v>
      </c>
      <c r="E16" s="180">
        <v>1</v>
      </c>
      <c r="F16" s="179">
        <v>1</v>
      </c>
      <c r="G16" s="180">
        <v>2</v>
      </c>
      <c r="H16" s="180">
        <v>2</v>
      </c>
      <c r="I16" s="180">
        <v>3</v>
      </c>
      <c r="J16" s="180">
        <v>3</v>
      </c>
      <c r="K16" s="192">
        <f t="shared" ref="K16" si="9">SUM(C16*8)+(D16*7)+(E16*6)+(F16*5)+(G16*4)+(H16*3)+(I16*2)+(J16*1)</f>
        <v>49</v>
      </c>
      <c r="L16" s="283" t="s">
        <v>4679</v>
      </c>
      <c r="M16" s="283" t="s">
        <v>4679</v>
      </c>
      <c r="N16" s="288">
        <v>1</v>
      </c>
      <c r="O16" s="490" t="s">
        <v>4965</v>
      </c>
      <c r="P16" s="487" t="s">
        <v>4991</v>
      </c>
      <c r="Q16" s="488" t="s">
        <v>4928</v>
      </c>
      <c r="R16" s="486">
        <v>2</v>
      </c>
      <c r="S16" s="486">
        <v>6</v>
      </c>
      <c r="T16" s="486">
        <v>1</v>
      </c>
      <c r="U16" s="486">
        <f t="shared" si="1"/>
        <v>3.5000000000000003E-2</v>
      </c>
    </row>
    <row r="17" spans="1:25" s="248" customFormat="1" ht="76.2" customHeight="1" thickBot="1">
      <c r="A17" s="287" t="s">
        <v>4680</v>
      </c>
      <c r="B17" s="246" t="s">
        <v>5016</v>
      </c>
      <c r="C17" s="180">
        <v>1</v>
      </c>
      <c r="D17" s="179">
        <v>1</v>
      </c>
      <c r="E17" s="180">
        <v>1</v>
      </c>
      <c r="F17" s="179">
        <v>1</v>
      </c>
      <c r="G17" s="180">
        <v>2</v>
      </c>
      <c r="H17" s="180">
        <v>2</v>
      </c>
      <c r="I17" s="180">
        <v>3</v>
      </c>
      <c r="J17" s="180">
        <v>3</v>
      </c>
      <c r="K17" s="192">
        <f t="shared" ref="K17" si="10">SUM(C17*8)+(D17*7)+(E17*6)+(F17*5)+(G17*4)+(H17*3)+(I17*2)+(J17*1)</f>
        <v>49</v>
      </c>
      <c r="L17" s="283" t="s">
        <v>4669</v>
      </c>
      <c r="M17" s="283" t="s">
        <v>4669</v>
      </c>
      <c r="N17" s="288">
        <v>1</v>
      </c>
      <c r="O17" s="493" t="s">
        <v>4966</v>
      </c>
      <c r="P17" s="493" t="s">
        <v>4992</v>
      </c>
      <c r="Q17" s="491" t="s">
        <v>4722</v>
      </c>
      <c r="R17" s="486">
        <v>4</v>
      </c>
      <c r="S17" s="486">
        <v>4</v>
      </c>
      <c r="T17" s="486">
        <v>1</v>
      </c>
      <c r="U17" s="486">
        <f t="shared" si="1"/>
        <v>1.2500000000000001E-2</v>
      </c>
    </row>
    <row r="18" spans="1:25" s="248" customFormat="1" ht="96.6" customHeight="1" thickBot="1">
      <c r="A18" s="287" t="s">
        <v>4681</v>
      </c>
      <c r="B18" s="246" t="s">
        <v>5016</v>
      </c>
      <c r="C18" s="180">
        <v>1</v>
      </c>
      <c r="D18" s="179">
        <v>1</v>
      </c>
      <c r="E18" s="180">
        <v>1</v>
      </c>
      <c r="F18" s="179">
        <v>1</v>
      </c>
      <c r="G18" s="180">
        <v>2</v>
      </c>
      <c r="H18" s="180">
        <v>2</v>
      </c>
      <c r="I18" s="180">
        <v>3</v>
      </c>
      <c r="J18" s="180">
        <v>3</v>
      </c>
      <c r="K18" s="192">
        <f t="shared" ref="K18" si="11">SUM(C18*8)+(D18*7)+(E18*6)+(F18*5)+(G18*4)+(H18*3)+(I18*2)+(J18*1)</f>
        <v>49</v>
      </c>
      <c r="L18" s="283" t="s">
        <v>4682</v>
      </c>
      <c r="M18" s="283" t="s">
        <v>4682</v>
      </c>
      <c r="N18" s="288">
        <v>1</v>
      </c>
      <c r="O18" s="495" t="s">
        <v>4954</v>
      </c>
      <c r="P18" s="493" t="s">
        <v>4964</v>
      </c>
      <c r="Q18" s="491" t="s">
        <v>4723</v>
      </c>
      <c r="R18" s="486">
        <v>2</v>
      </c>
      <c r="S18" s="486">
        <v>6</v>
      </c>
      <c r="T18" s="486">
        <v>1</v>
      </c>
      <c r="U18" s="486">
        <f t="shared" si="1"/>
        <v>3.5000000000000003E-2</v>
      </c>
    </row>
    <row r="19" spans="1:25" ht="105" thickBot="1">
      <c r="A19" s="287" t="s">
        <v>4683</v>
      </c>
      <c r="B19" s="246" t="s">
        <v>5016</v>
      </c>
      <c r="C19" s="189">
        <v>1</v>
      </c>
      <c r="D19" s="195">
        <v>1</v>
      </c>
      <c r="E19" s="189">
        <v>1</v>
      </c>
      <c r="F19" s="195">
        <v>1</v>
      </c>
      <c r="G19" s="189">
        <v>2</v>
      </c>
      <c r="H19" s="189">
        <v>2</v>
      </c>
      <c r="I19" s="189">
        <v>3</v>
      </c>
      <c r="J19" s="189">
        <v>3</v>
      </c>
      <c r="K19" s="297">
        <f t="shared" ref="K19" si="12">SUM(C19*8)+(D19*7)+(E19*6)+(F19*5)+(G19*4)+(H19*3)+(I19*2)+(J19*1)</f>
        <v>49</v>
      </c>
      <c r="L19" s="284" t="s">
        <v>4646</v>
      </c>
      <c r="M19" s="284" t="s">
        <v>4662</v>
      </c>
      <c r="N19" s="288">
        <v>1</v>
      </c>
      <c r="O19" s="493" t="s">
        <v>4955</v>
      </c>
      <c r="P19" s="489" t="s">
        <v>4956</v>
      </c>
      <c r="Q19" s="491" t="s">
        <v>4723</v>
      </c>
      <c r="R19" s="486">
        <v>1</v>
      </c>
      <c r="S19" s="486">
        <v>2</v>
      </c>
      <c r="T19" s="496">
        <v>1</v>
      </c>
      <c r="U19" s="486">
        <f t="shared" si="1"/>
        <v>0.03</v>
      </c>
    </row>
    <row r="20" spans="1:25" ht="296.39999999999998" thickBot="1">
      <c r="A20" s="307" t="s">
        <v>4684</v>
      </c>
      <c r="B20" s="246" t="s">
        <v>5016</v>
      </c>
      <c r="C20" s="298">
        <v>1</v>
      </c>
      <c r="D20" s="299">
        <v>1</v>
      </c>
      <c r="E20" s="298">
        <v>1</v>
      </c>
      <c r="F20" s="299">
        <v>1</v>
      </c>
      <c r="G20" s="298">
        <v>2</v>
      </c>
      <c r="H20" s="298">
        <v>2</v>
      </c>
      <c r="I20" s="298">
        <v>3</v>
      </c>
      <c r="J20" s="298">
        <v>3</v>
      </c>
      <c r="K20" s="300">
        <f t="shared" ref="K20" si="13">SUM(C20*8)+(D20*7)+(E20*6)+(F20*5)+(G20*4)+(H20*3)+(I20*2)+(J20*1)</f>
        <v>49</v>
      </c>
      <c r="L20" s="308" t="s">
        <v>4685</v>
      </c>
      <c r="M20" s="308" t="s">
        <v>4685</v>
      </c>
      <c r="N20" s="309">
        <v>1</v>
      </c>
      <c r="O20" s="493" t="s">
        <v>4957</v>
      </c>
      <c r="P20" s="489" t="s">
        <v>4958</v>
      </c>
      <c r="Q20" s="491" t="s">
        <v>4932</v>
      </c>
      <c r="R20" s="486">
        <v>2</v>
      </c>
      <c r="S20" s="496">
        <v>6</v>
      </c>
      <c r="T20" s="496">
        <v>2</v>
      </c>
      <c r="U20" s="486">
        <f>(S20+T20)/(R20*100)</f>
        <v>0.04</v>
      </c>
      <c r="Y20" s="484"/>
    </row>
  </sheetData>
  <conditionalFormatting sqref="C2:J8">
    <cfRule type="cellIs" dxfId="127" priority="1" stopIfTrue="1" operator="equal">
      <formula>0</formula>
    </cfRule>
    <cfRule type="containsText" dxfId="126" priority="2" operator="containsText" text="4">
      <formula>NOT(ISERROR(SEARCH("4",C2)))</formula>
    </cfRule>
    <cfRule type="containsText" dxfId="125" priority="3" operator="containsText" text="3">
      <formula>NOT(ISERROR(SEARCH("3",C2)))</formula>
    </cfRule>
    <cfRule type="containsText" dxfId="124" priority="4" operator="containsText" text="2">
      <formula>NOT(ISERROR(SEARCH("2",C2)))</formula>
    </cfRule>
    <cfRule type="containsText" dxfId="123" priority="5" operator="containsText" text="1">
      <formula>NOT(ISERROR(SEARCH("1",C2)))</formula>
    </cfRule>
  </conditionalFormatting>
  <conditionalFormatting sqref="C9:J20">
    <cfRule type="cellIs" dxfId="122" priority="46" stopIfTrue="1" operator="equal">
      <formula>0</formula>
    </cfRule>
    <cfRule type="containsText" dxfId="121" priority="47" operator="containsText" text="4">
      <formula>NOT(ISERROR(SEARCH("4",C9)))</formula>
    </cfRule>
    <cfRule type="containsText" dxfId="120" priority="48" operator="containsText" text="3">
      <formula>NOT(ISERROR(SEARCH("3",C9)))</formula>
    </cfRule>
    <cfRule type="containsText" dxfId="119" priority="49" operator="containsText" text="2">
      <formula>NOT(ISERROR(SEARCH("2",C9)))</formula>
    </cfRule>
    <cfRule type="containsText" dxfId="118" priority="50" operator="containsText" text="1">
      <formula>NOT(ISERROR(SEARCH("1",C9)))</formula>
    </cfRule>
  </conditionalFormatting>
  <conditionalFormatting sqref="C10:J10">
    <cfRule type="cellIs" dxfId="117" priority="26" stopIfTrue="1" operator="equal">
      <formula>0</formula>
    </cfRule>
    <cfRule type="containsText" dxfId="116" priority="27" operator="containsText" text="4">
      <formula>NOT(ISERROR(SEARCH("4",C10)))</formula>
    </cfRule>
    <cfRule type="containsText" dxfId="115" priority="28" operator="containsText" text="3">
      <formula>NOT(ISERROR(SEARCH("3",C10)))</formula>
    </cfRule>
    <cfRule type="containsText" dxfId="114" priority="29" operator="containsText" text="2">
      <formula>NOT(ISERROR(SEARCH("2",C10)))</formula>
    </cfRule>
    <cfRule type="containsText" dxfId="113" priority="30" operator="containsText" text="1">
      <formula>NOT(ISERROR(SEARCH("1",C10)))</formula>
    </cfRule>
  </conditionalFormatting>
  <dataValidations count="1">
    <dataValidation type="list" allowBlank="1" showInputMessage="1" showErrorMessage="1" sqref="A2" xr:uid="{B5B35F19-47F6-400F-917B-F9927CB62F2D}">
      <formula1>#REF!</formula1>
    </dataValidation>
  </dataValidations>
  <pageMargins left="0.7" right="0.7" top="0.75" bottom="0.75" header="0.3" footer="0.3"/>
  <pageSetup paperSize="9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23"/>
  <sheetViews>
    <sheetView showGridLines="0" topLeftCell="H1" zoomScale="83" zoomScaleNormal="106" workbookViewId="0">
      <selection activeCell="H3" sqref="H3"/>
    </sheetView>
  </sheetViews>
  <sheetFormatPr defaultColWidth="8.6640625" defaultRowHeight="19.8"/>
  <cols>
    <col min="1" max="1" width="4.6640625" style="22" customWidth="1"/>
    <col min="2" max="7" width="20.6640625" style="22" customWidth="1"/>
    <col min="8" max="8" width="30.6640625" style="22" customWidth="1"/>
    <col min="9" max="11" width="5.6640625" style="22" customWidth="1"/>
    <col min="12" max="12" width="6.6640625" style="22" hidden="1" customWidth="1"/>
    <col min="13" max="15" width="6.6640625" style="22" customWidth="1"/>
    <col min="16" max="16" width="30.6640625" style="22" customWidth="1"/>
    <col min="17" max="19" width="10.6640625" style="22" customWidth="1"/>
    <col min="20" max="22" width="5.6640625" style="22" customWidth="1"/>
    <col min="23" max="23" width="5.6640625" style="22" hidden="1" customWidth="1"/>
    <col min="24" max="16384" width="8.6640625" style="22"/>
  </cols>
  <sheetData>
    <row r="1" spans="1:23" s="249" customFormat="1" ht="18">
      <c r="A1" s="373" t="s">
        <v>4695</v>
      </c>
      <c r="B1" s="374" t="s">
        <v>4696</v>
      </c>
      <c r="C1" s="374" t="s">
        <v>4697</v>
      </c>
      <c r="D1" s="375" t="s">
        <v>4698</v>
      </c>
      <c r="E1" s="375" t="s">
        <v>4699</v>
      </c>
      <c r="F1" s="376" t="s">
        <v>5010</v>
      </c>
      <c r="G1" s="364" t="s">
        <v>4700</v>
      </c>
      <c r="H1" s="372" t="s">
        <v>4701</v>
      </c>
      <c r="I1" s="365" t="s">
        <v>4702</v>
      </c>
      <c r="J1" s="366"/>
      <c r="K1" s="366"/>
      <c r="L1" s="366"/>
      <c r="M1" s="366"/>
      <c r="N1" s="366"/>
      <c r="O1" s="367"/>
      <c r="P1" s="368" t="s">
        <v>4703</v>
      </c>
      <c r="Q1" s="370" t="s">
        <v>4704</v>
      </c>
      <c r="R1" s="370"/>
      <c r="S1" s="370" t="s">
        <v>4705</v>
      </c>
      <c r="T1" s="371" t="s">
        <v>4706</v>
      </c>
      <c r="U1" s="371"/>
      <c r="V1" s="371"/>
      <c r="W1" s="371"/>
    </row>
    <row r="2" spans="1:23" s="249" customFormat="1" ht="18">
      <c r="A2" s="373"/>
      <c r="B2" s="374"/>
      <c r="C2" s="374"/>
      <c r="D2" s="375"/>
      <c r="E2" s="375"/>
      <c r="F2" s="377"/>
      <c r="G2" s="364"/>
      <c r="H2" s="372"/>
      <c r="I2" s="130" t="s">
        <v>4707</v>
      </c>
      <c r="J2" s="130" t="s">
        <v>4708</v>
      </c>
      <c r="K2" s="130" t="s">
        <v>4709</v>
      </c>
      <c r="L2" s="130" t="s">
        <v>4709</v>
      </c>
      <c r="M2" s="130" t="s">
        <v>4710</v>
      </c>
      <c r="N2" s="130" t="s">
        <v>4711</v>
      </c>
      <c r="O2" s="130" t="s">
        <v>4712</v>
      </c>
      <c r="P2" s="369"/>
      <c r="Q2" s="250" t="s">
        <v>4713</v>
      </c>
      <c r="R2" s="250" t="s">
        <v>4714</v>
      </c>
      <c r="S2" s="370"/>
      <c r="T2" s="251" t="s">
        <v>4707</v>
      </c>
      <c r="U2" s="251" t="s">
        <v>4708</v>
      </c>
      <c r="V2" s="251" t="s">
        <v>4709</v>
      </c>
      <c r="W2" s="251" t="s">
        <v>4709</v>
      </c>
    </row>
    <row r="3" spans="1:23" s="271" customFormat="1" ht="87">
      <c r="A3" s="253">
        <v>1</v>
      </c>
      <c r="B3" s="136" t="s">
        <v>4586</v>
      </c>
      <c r="C3" s="134" t="s">
        <v>4587</v>
      </c>
      <c r="D3" s="134" t="s">
        <v>4544</v>
      </c>
      <c r="E3" s="138" t="s">
        <v>4715</v>
      </c>
      <c r="F3" s="138" t="s">
        <v>4357</v>
      </c>
      <c r="G3" s="136" t="s">
        <v>5004</v>
      </c>
      <c r="H3" s="135" t="s">
        <v>5005</v>
      </c>
      <c r="I3" s="253">
        <v>4</v>
      </c>
      <c r="J3" s="253">
        <v>1</v>
      </c>
      <c r="K3" s="253" t="str">
        <f t="shared" ref="K3:K6" si="0">L3</f>
        <v>E4</v>
      </c>
      <c r="L3" s="253" t="str">
        <f t="shared" ref="L3:L17" si="1">IF(AND(J3=1,I3=1),"L16",IF(AND(J3=1,I3=2),"L14",IF(AND(J3=1,I3=3),"M11",IF(AND(J3=1,I3=4),"E4",IF(AND(J3=2,I3=1),"L15",IF(AND(J3=2,I3=2),"M12",IF(AND(J3=2,I3=3),"H7",IF(AND(J3=2,I3=4),"E3",IF(AND(J3=3,I3=1),"M13",IF(AND(J3=3,I3=2),"H9",IF(AND(J3=3,I3=3),"E6",IF(AND(J3=4,I3=4),"E2",IF(AND(J3=4,I3=1),"H10",IF(AND(I3=2,J3=4),"H8",IF(AND(J3=4,I3=3),"E5",IF(AND(J3=4,I3=4),"E1",FALSE))))))))))))))))</f>
        <v>E4</v>
      </c>
      <c r="M3" s="253" t="str">
        <f>'2.2 BIA Process'!N8</f>
        <v>24 ชม</v>
      </c>
      <c r="N3" s="253" t="str">
        <f>'2.2 BIA Process'!O8</f>
        <v>1 ชม</v>
      </c>
      <c r="O3" s="270">
        <f>'2.2 BIA Process'!P8</f>
        <v>1</v>
      </c>
      <c r="P3" s="136" t="s">
        <v>3927</v>
      </c>
      <c r="Q3" s="253" t="s">
        <v>3927</v>
      </c>
      <c r="R3" s="253" t="s">
        <v>3927</v>
      </c>
      <c r="S3" s="253" t="s">
        <v>3927</v>
      </c>
      <c r="T3" s="253">
        <v>4</v>
      </c>
      <c r="U3" s="253">
        <v>1</v>
      </c>
      <c r="V3" s="253" t="str">
        <f t="shared" ref="V3:V6" si="2">W3</f>
        <v>E4</v>
      </c>
      <c r="W3" s="253" t="str">
        <f t="shared" ref="W3:W23" si="3">IF(AND(U3=1,T3=1),"L16",IF(AND(U3=1,T3=2),"L14",IF(AND(U3=1,T3=3),"M11",IF(AND(U3=1,T3=4),"E4",IF(AND(U3=2,T3=1),"L15",IF(AND(U3=2,T3=2),"M12",IF(AND(U3=2,T3=3),"H7",IF(AND(U3=2,T3=4),"E3",IF(AND(U3=3,T3=1),"M13",IF(AND(U3=3,T3=2),"H9",IF(AND(U3=3,T3=3),"E6",IF(AND(U3=4,T3=4),"E2",IF(AND(U3=4,T3=1),"H10",IF(AND(U3=2,T3=4),"H8",IF(AND(U3=4,T3=3),"E5",IF(AND(U3=4,T3=4),"E1",FALSE))))))))))))))))</f>
        <v>E4</v>
      </c>
    </row>
    <row r="4" spans="1:23" s="271" customFormat="1" ht="36.75" customHeight="1">
      <c r="A4" s="253"/>
      <c r="B4" s="136"/>
      <c r="C4" s="134"/>
      <c r="D4" s="134"/>
      <c r="E4" s="138"/>
      <c r="F4" s="138" t="s">
        <v>4357</v>
      </c>
      <c r="G4" s="136" t="s">
        <v>5007</v>
      </c>
      <c r="H4" s="135" t="s">
        <v>5009</v>
      </c>
      <c r="I4" s="253">
        <v>4</v>
      </c>
      <c r="J4" s="253">
        <v>1</v>
      </c>
      <c r="K4" s="253" t="str">
        <f>L3</f>
        <v>E4</v>
      </c>
      <c r="L4" s="253"/>
      <c r="M4" s="253"/>
      <c r="N4" s="253"/>
      <c r="O4" s="270"/>
      <c r="P4" s="136"/>
      <c r="Q4" s="253"/>
      <c r="R4" s="253"/>
      <c r="S4" s="253"/>
      <c r="T4" s="253"/>
      <c r="U4" s="253"/>
      <c r="V4" s="253"/>
      <c r="W4" s="253"/>
    </row>
    <row r="5" spans="1:23" s="271" customFormat="1" ht="52.2">
      <c r="A5" s="253"/>
      <c r="B5" s="136"/>
      <c r="C5" s="134"/>
      <c r="D5" s="134"/>
      <c r="E5" s="138"/>
      <c r="F5" s="138" t="s">
        <v>4897</v>
      </c>
      <c r="G5" s="136" t="s">
        <v>5006</v>
      </c>
      <c r="H5" s="135" t="s">
        <v>5008</v>
      </c>
      <c r="I5" s="253">
        <v>3</v>
      </c>
      <c r="J5" s="253">
        <v>1</v>
      </c>
      <c r="K5" s="253" t="str">
        <f>L7</f>
        <v>M11</v>
      </c>
      <c r="L5" s="253"/>
      <c r="M5" s="253"/>
      <c r="N5" s="253"/>
      <c r="O5" s="270"/>
      <c r="P5" s="136"/>
      <c r="Q5" s="253"/>
      <c r="R5" s="253"/>
      <c r="S5" s="253"/>
      <c r="T5" s="253"/>
      <c r="U5" s="253"/>
      <c r="V5" s="253"/>
      <c r="W5" s="253"/>
    </row>
    <row r="6" spans="1:23" s="271" customFormat="1" ht="104.4">
      <c r="A6" s="253">
        <v>2</v>
      </c>
      <c r="B6" s="136" t="s">
        <v>4586</v>
      </c>
      <c r="C6" s="134" t="s">
        <v>4590</v>
      </c>
      <c r="D6" s="134" t="s">
        <v>4544</v>
      </c>
      <c r="E6" s="138" t="s">
        <v>4715</v>
      </c>
      <c r="F6" s="138"/>
      <c r="G6" s="136" t="s">
        <v>4716</v>
      </c>
      <c r="H6" s="135" t="s">
        <v>4939</v>
      </c>
      <c r="I6" s="253">
        <v>4</v>
      </c>
      <c r="J6" s="253">
        <v>1</v>
      </c>
      <c r="K6" s="253" t="str">
        <f t="shared" si="0"/>
        <v>E4</v>
      </c>
      <c r="L6" s="253" t="str">
        <f t="shared" si="1"/>
        <v>E4</v>
      </c>
      <c r="M6" s="253" t="str">
        <f>'2.2 BIA Process'!N9</f>
        <v>24 ชม</v>
      </c>
      <c r="N6" s="253" t="str">
        <f>'2.2 BIA Process'!O9</f>
        <v>1 ชม</v>
      </c>
      <c r="O6" s="270">
        <f>'2.2 BIA Process'!P9</f>
        <v>1</v>
      </c>
      <c r="P6" s="136" t="s">
        <v>4979</v>
      </c>
      <c r="Q6" s="253" t="s">
        <v>4935</v>
      </c>
      <c r="R6" s="253" t="s">
        <v>4936</v>
      </c>
      <c r="S6" s="253" t="s">
        <v>4931</v>
      </c>
      <c r="T6" s="253">
        <v>3</v>
      </c>
      <c r="U6" s="253">
        <v>1</v>
      </c>
      <c r="V6" s="253" t="str">
        <f t="shared" si="2"/>
        <v>M11</v>
      </c>
      <c r="W6" s="253" t="str">
        <f t="shared" si="3"/>
        <v>M11</v>
      </c>
    </row>
    <row r="7" spans="1:23" s="271" customFormat="1" ht="104.4">
      <c r="A7" s="253">
        <v>3</v>
      </c>
      <c r="B7" s="136" t="s">
        <v>4586</v>
      </c>
      <c r="C7" s="136" t="s">
        <v>4592</v>
      </c>
      <c r="D7" s="134" t="s">
        <v>4544</v>
      </c>
      <c r="E7" s="138" t="s">
        <v>4715</v>
      </c>
      <c r="F7" s="138"/>
      <c r="G7" s="136" t="s">
        <v>4940</v>
      </c>
      <c r="H7" s="135" t="s">
        <v>4941</v>
      </c>
      <c r="I7" s="253">
        <v>3</v>
      </c>
      <c r="J7" s="253">
        <v>1</v>
      </c>
      <c r="K7" s="253" t="str">
        <f>L7</f>
        <v>M11</v>
      </c>
      <c r="L7" s="253" t="str">
        <f t="shared" si="1"/>
        <v>M11</v>
      </c>
      <c r="M7" s="253" t="str">
        <f>'2.2 BIA Process'!N10</f>
        <v>24 ชม</v>
      </c>
      <c r="N7" s="253" t="str">
        <f>'2.2 BIA Process'!O10</f>
        <v>1 ชม</v>
      </c>
      <c r="O7" s="270">
        <f>'2.2 BIA Process'!P10</f>
        <v>1</v>
      </c>
      <c r="P7" s="136" t="s">
        <v>4717</v>
      </c>
      <c r="Q7" s="253" t="s">
        <v>4935</v>
      </c>
      <c r="R7" s="253" t="s">
        <v>4936</v>
      </c>
      <c r="S7" s="253" t="s">
        <v>4931</v>
      </c>
      <c r="T7" s="253">
        <v>3</v>
      </c>
      <c r="U7" s="253">
        <v>1</v>
      </c>
      <c r="V7" s="253" t="str">
        <f t="shared" ref="V7:V17" si="4">W7</f>
        <v>M11</v>
      </c>
      <c r="W7" s="253" t="str">
        <f t="shared" si="3"/>
        <v>M11</v>
      </c>
    </row>
    <row r="8" spans="1:23" s="271" customFormat="1" ht="121.8">
      <c r="A8" s="253">
        <v>4</v>
      </c>
      <c r="B8" s="136" t="s">
        <v>4586</v>
      </c>
      <c r="C8" s="136" t="s">
        <v>4593</v>
      </c>
      <c r="D8" s="134" t="s">
        <v>4544</v>
      </c>
      <c r="E8" s="138" t="s">
        <v>4715</v>
      </c>
      <c r="F8" s="138"/>
      <c r="G8" s="136" t="s">
        <v>4980</v>
      </c>
      <c r="H8" s="136" t="s">
        <v>4944</v>
      </c>
      <c r="I8" s="253">
        <v>4</v>
      </c>
      <c r="J8" s="253">
        <v>1</v>
      </c>
      <c r="K8" s="253" t="str">
        <f t="shared" ref="K8:K17" si="5">L8</f>
        <v>E4</v>
      </c>
      <c r="L8" s="253" t="str">
        <f t="shared" si="1"/>
        <v>E4</v>
      </c>
      <c r="M8" s="253" t="str">
        <f>'2.2 BIA Process'!N11</f>
        <v>48 ชม</v>
      </c>
      <c r="N8" s="253" t="str">
        <f>'2.2 BIA Process'!O11</f>
        <v>1 ชม</v>
      </c>
      <c r="O8" s="270">
        <f>'2.2 BIA Process'!P11</f>
        <v>1</v>
      </c>
      <c r="P8" s="138" t="s">
        <v>4718</v>
      </c>
      <c r="Q8" s="253" t="s">
        <v>4935</v>
      </c>
      <c r="R8" s="253" t="s">
        <v>4936</v>
      </c>
      <c r="S8" s="253" t="s">
        <v>4931</v>
      </c>
      <c r="T8" s="253">
        <v>3</v>
      </c>
      <c r="U8" s="253">
        <v>1</v>
      </c>
      <c r="V8" s="253" t="str">
        <f t="shared" si="4"/>
        <v>M11</v>
      </c>
      <c r="W8" s="253" t="str">
        <f t="shared" si="3"/>
        <v>M11</v>
      </c>
    </row>
    <row r="9" spans="1:23" s="271" customFormat="1" ht="87">
      <c r="A9" s="253">
        <v>5</v>
      </c>
      <c r="B9" s="136" t="s">
        <v>4586</v>
      </c>
      <c r="C9" s="136" t="s">
        <v>4594</v>
      </c>
      <c r="D9" s="134" t="s">
        <v>4544</v>
      </c>
      <c r="E9" s="138" t="s">
        <v>4715</v>
      </c>
      <c r="F9" s="138"/>
      <c r="G9" s="238" t="s">
        <v>4942</v>
      </c>
      <c r="H9" s="137" t="s">
        <v>4943</v>
      </c>
      <c r="I9" s="253">
        <v>2</v>
      </c>
      <c r="J9" s="253">
        <v>2</v>
      </c>
      <c r="K9" s="253" t="str">
        <f t="shared" si="5"/>
        <v>M12</v>
      </c>
      <c r="L9" s="253" t="str">
        <f t="shared" si="1"/>
        <v>M12</v>
      </c>
      <c r="M9" s="253" t="str">
        <f>'2.2 BIA Process'!N12</f>
        <v>48 ชม</v>
      </c>
      <c r="N9" s="253" t="str">
        <f>'2.2 BIA Process'!O12</f>
        <v>1 ชม</v>
      </c>
      <c r="O9" s="270">
        <f>'2.2 BIA Process'!P12</f>
        <v>1</v>
      </c>
      <c r="P9" s="136" t="s">
        <v>4981</v>
      </c>
      <c r="Q9" s="253" t="s">
        <v>4935</v>
      </c>
      <c r="R9" s="253" t="s">
        <v>4936</v>
      </c>
      <c r="S9" s="253" t="s">
        <v>4929</v>
      </c>
      <c r="T9" s="253">
        <v>1</v>
      </c>
      <c r="U9" s="253">
        <v>2</v>
      </c>
      <c r="V9" s="253" t="str">
        <f t="shared" si="4"/>
        <v>L15</v>
      </c>
      <c r="W9" s="253" t="str">
        <f t="shared" si="3"/>
        <v>L15</v>
      </c>
    </row>
    <row r="10" spans="1:23" s="271" customFormat="1" ht="104.4">
      <c r="A10" s="253">
        <v>6</v>
      </c>
      <c r="B10" s="136" t="s">
        <v>4586</v>
      </c>
      <c r="C10" s="136" t="s">
        <v>4595</v>
      </c>
      <c r="D10" s="134" t="s">
        <v>4544</v>
      </c>
      <c r="E10" s="138" t="s">
        <v>4715</v>
      </c>
      <c r="F10" s="138"/>
      <c r="G10" s="238" t="s">
        <v>4947</v>
      </c>
      <c r="H10" s="136" t="s">
        <v>4945</v>
      </c>
      <c r="I10" s="253">
        <v>3</v>
      </c>
      <c r="J10" s="253">
        <v>1</v>
      </c>
      <c r="K10" s="253" t="str">
        <f t="shared" si="5"/>
        <v>M11</v>
      </c>
      <c r="L10" s="253" t="str">
        <f t="shared" si="1"/>
        <v>M11</v>
      </c>
      <c r="M10" s="253" t="str">
        <f>'2.2 BIA Process'!N13</f>
        <v>24 ชม</v>
      </c>
      <c r="N10" s="253" t="str">
        <f>'2.2 BIA Process'!O13</f>
        <v>1 ชม</v>
      </c>
      <c r="O10" s="270">
        <f>'2.2 BIA Process'!P13</f>
        <v>1</v>
      </c>
      <c r="P10" s="137" t="s">
        <v>4938</v>
      </c>
      <c r="Q10" s="253" t="s">
        <v>4935</v>
      </c>
      <c r="R10" s="253" t="s">
        <v>4936</v>
      </c>
      <c r="S10" s="253" t="s">
        <v>4937</v>
      </c>
      <c r="T10" s="253">
        <v>2</v>
      </c>
      <c r="U10" s="253">
        <v>1</v>
      </c>
      <c r="V10" s="253" t="str">
        <f t="shared" si="4"/>
        <v>L14</v>
      </c>
      <c r="W10" s="253" t="str">
        <f t="shared" si="3"/>
        <v>L14</v>
      </c>
    </row>
    <row r="11" spans="1:23" s="271" customFormat="1" ht="191.4">
      <c r="A11" s="253">
        <v>7</v>
      </c>
      <c r="B11" s="136" t="s">
        <v>4586</v>
      </c>
      <c r="C11" s="136" t="s">
        <v>4596</v>
      </c>
      <c r="D11" s="134" t="s">
        <v>4544</v>
      </c>
      <c r="E11" s="138" t="s">
        <v>4715</v>
      </c>
      <c r="F11" s="138"/>
      <c r="G11" s="238" t="s">
        <v>4946</v>
      </c>
      <c r="H11" s="238" t="s">
        <v>4984</v>
      </c>
      <c r="I11" s="253">
        <v>3</v>
      </c>
      <c r="J11" s="253">
        <v>1</v>
      </c>
      <c r="K11" s="253" t="str">
        <f t="shared" si="5"/>
        <v>M11</v>
      </c>
      <c r="L11" s="253" t="str">
        <f t="shared" si="1"/>
        <v>M11</v>
      </c>
      <c r="M11" s="253" t="str">
        <f>'2.2 BIA Process'!N14</f>
        <v>7 วัน</v>
      </c>
      <c r="N11" s="253" t="str">
        <f>'2.2 BIA Process'!O14</f>
        <v>7 วัน</v>
      </c>
      <c r="O11" s="270">
        <f>'2.2 BIA Process'!P14</f>
        <v>1</v>
      </c>
      <c r="P11" s="137" t="s">
        <v>4719</v>
      </c>
      <c r="Q11" s="253" t="s">
        <v>4935</v>
      </c>
      <c r="R11" s="253" t="s">
        <v>4936</v>
      </c>
      <c r="S11" s="253" t="s">
        <v>4930</v>
      </c>
      <c r="T11" s="253">
        <v>1</v>
      </c>
      <c r="U11" s="253">
        <v>1</v>
      </c>
      <c r="V11" s="253" t="str">
        <f t="shared" si="4"/>
        <v>L16</v>
      </c>
      <c r="W11" s="253" t="str">
        <f t="shared" si="3"/>
        <v>L16</v>
      </c>
    </row>
    <row r="12" spans="1:23" s="271" customFormat="1" ht="87">
      <c r="A12" s="253">
        <v>8</v>
      </c>
      <c r="B12" s="136" t="s">
        <v>4586</v>
      </c>
      <c r="C12" s="136" t="s">
        <v>4597</v>
      </c>
      <c r="D12" s="134" t="s">
        <v>4544</v>
      </c>
      <c r="E12" s="138" t="s">
        <v>4715</v>
      </c>
      <c r="F12" s="138"/>
      <c r="G12" s="238" t="s">
        <v>4982</v>
      </c>
      <c r="H12" s="137" t="s">
        <v>4983</v>
      </c>
      <c r="I12" s="253">
        <v>4</v>
      </c>
      <c r="J12" s="253">
        <v>2</v>
      </c>
      <c r="K12" s="253" t="str">
        <f t="shared" si="5"/>
        <v>E3</v>
      </c>
      <c r="L12" s="253" t="str">
        <f t="shared" si="1"/>
        <v>E3</v>
      </c>
      <c r="M12" s="253" t="str">
        <f>'2.2 BIA Process'!N15</f>
        <v>7 วัน</v>
      </c>
      <c r="N12" s="253" t="str">
        <f>'2.2 BIA Process'!O15</f>
        <v>7 วัน</v>
      </c>
      <c r="O12" s="270">
        <f>'2.2 BIA Process'!P15</f>
        <v>1</v>
      </c>
      <c r="P12" s="136" t="s">
        <v>4720</v>
      </c>
      <c r="Q12" s="253" t="s">
        <v>4935</v>
      </c>
      <c r="R12" s="253" t="s">
        <v>4936</v>
      </c>
      <c r="S12" s="253" t="s">
        <v>4930</v>
      </c>
      <c r="T12" s="253">
        <v>3</v>
      </c>
      <c r="U12" s="253">
        <v>2</v>
      </c>
      <c r="V12" s="253" t="str">
        <f t="shared" si="4"/>
        <v>H7</v>
      </c>
      <c r="W12" s="253" t="str">
        <f t="shared" si="3"/>
        <v>H7</v>
      </c>
    </row>
    <row r="13" spans="1:23" s="271" customFormat="1" ht="121.8">
      <c r="A13" s="253">
        <v>9</v>
      </c>
      <c r="B13" s="136" t="s">
        <v>4586</v>
      </c>
      <c r="C13" s="136" t="s">
        <v>4598</v>
      </c>
      <c r="D13" s="134" t="s">
        <v>4544</v>
      </c>
      <c r="E13" s="138" t="s">
        <v>4715</v>
      </c>
      <c r="F13" s="138"/>
      <c r="G13" s="239" t="s">
        <v>4948</v>
      </c>
      <c r="H13" s="239" t="s">
        <v>4949</v>
      </c>
      <c r="I13" s="253">
        <v>3</v>
      </c>
      <c r="J13" s="253">
        <v>1</v>
      </c>
      <c r="K13" s="253" t="str">
        <f t="shared" si="5"/>
        <v>M11</v>
      </c>
      <c r="L13" s="253" t="str">
        <f t="shared" si="1"/>
        <v>M11</v>
      </c>
      <c r="M13" s="253" t="str">
        <f>'2.2 BIA Process'!N16</f>
        <v>7 วัน</v>
      </c>
      <c r="N13" s="253" t="str">
        <f>'2.2 BIA Process'!O16</f>
        <v>7 วัน</v>
      </c>
      <c r="O13" s="270">
        <f>'2.2 BIA Process'!P16</f>
        <v>1</v>
      </c>
      <c r="P13" s="137" t="s">
        <v>4985</v>
      </c>
      <c r="Q13" s="253" t="s">
        <v>4935</v>
      </c>
      <c r="R13" s="253" t="s">
        <v>4936</v>
      </c>
      <c r="S13" s="253" t="s">
        <v>4931</v>
      </c>
      <c r="T13" s="253">
        <v>2</v>
      </c>
      <c r="U13" s="253">
        <v>1</v>
      </c>
      <c r="V13" s="253" t="str">
        <f t="shared" si="4"/>
        <v>L14</v>
      </c>
      <c r="W13" s="253" t="str">
        <f t="shared" si="3"/>
        <v>L14</v>
      </c>
    </row>
    <row r="14" spans="1:23" s="271" customFormat="1" ht="87">
      <c r="A14" s="253">
        <v>10</v>
      </c>
      <c r="B14" s="136" t="s">
        <v>4586</v>
      </c>
      <c r="C14" s="136" t="s">
        <v>4599</v>
      </c>
      <c r="D14" s="134" t="s">
        <v>4544</v>
      </c>
      <c r="E14" s="138" t="s">
        <v>4715</v>
      </c>
      <c r="F14" s="138"/>
      <c r="G14" s="240" t="s">
        <v>4959</v>
      </c>
      <c r="H14" s="240" t="s">
        <v>4950</v>
      </c>
      <c r="I14" s="253">
        <v>4</v>
      </c>
      <c r="J14" s="253">
        <v>1</v>
      </c>
      <c r="K14" s="253" t="str">
        <f t="shared" si="5"/>
        <v>E4</v>
      </c>
      <c r="L14" s="253" t="str">
        <f t="shared" si="1"/>
        <v>E4</v>
      </c>
      <c r="M14" s="253" t="str">
        <f>'2.2 BIA Process'!N17</f>
        <v>7 วัน</v>
      </c>
      <c r="N14" s="253" t="str">
        <f>'2.2 BIA Process'!O17</f>
        <v>7 วัน</v>
      </c>
      <c r="O14" s="270">
        <f>'2.2 BIA Process'!P17</f>
        <v>1</v>
      </c>
      <c r="P14" s="137" t="s">
        <v>4986</v>
      </c>
      <c r="Q14" s="252" t="s">
        <v>4935</v>
      </c>
      <c r="R14" s="252" t="s">
        <v>4936</v>
      </c>
      <c r="S14" s="253" t="s">
        <v>4930</v>
      </c>
      <c r="T14" s="253">
        <v>3</v>
      </c>
      <c r="U14" s="253">
        <v>1</v>
      </c>
      <c r="V14" s="253" t="str">
        <f t="shared" si="4"/>
        <v>M11</v>
      </c>
      <c r="W14" s="253" t="str">
        <f t="shared" si="3"/>
        <v>M11</v>
      </c>
    </row>
    <row r="15" spans="1:23" s="271" customFormat="1" ht="226.2">
      <c r="A15" s="253">
        <v>11</v>
      </c>
      <c r="B15" s="136" t="s">
        <v>4589</v>
      </c>
      <c r="C15" s="136" t="s">
        <v>4600</v>
      </c>
      <c r="D15" s="134" t="s">
        <v>4544</v>
      </c>
      <c r="E15" s="138" t="s">
        <v>4715</v>
      </c>
      <c r="F15" s="138"/>
      <c r="G15" s="240" t="s">
        <v>4962</v>
      </c>
      <c r="H15" s="137" t="s">
        <v>4963</v>
      </c>
      <c r="I15" s="253">
        <v>3</v>
      </c>
      <c r="J15" s="253">
        <v>2</v>
      </c>
      <c r="K15" s="253" t="str">
        <f t="shared" si="5"/>
        <v>H7</v>
      </c>
      <c r="L15" s="253" t="str">
        <f t="shared" si="1"/>
        <v>H7</v>
      </c>
      <c r="M15" s="253" t="str">
        <f>'2.2 BIA Process'!N18</f>
        <v>7 วัน</v>
      </c>
      <c r="N15" s="253" t="str">
        <f>'2.2 BIA Process'!O18</f>
        <v>7 วัน</v>
      </c>
      <c r="O15" s="270">
        <f>'2.2 BIA Process'!P18</f>
        <v>1</v>
      </c>
      <c r="P15" s="137" t="s">
        <v>4987</v>
      </c>
      <c r="Q15" s="253" t="s">
        <v>4935</v>
      </c>
      <c r="R15" s="253" t="s">
        <v>4936</v>
      </c>
      <c r="S15" s="253" t="s">
        <v>4930</v>
      </c>
      <c r="T15" s="253">
        <v>2</v>
      </c>
      <c r="U15" s="253">
        <v>2</v>
      </c>
      <c r="V15" s="253" t="str">
        <f t="shared" si="4"/>
        <v>M12</v>
      </c>
      <c r="W15" s="253" t="str">
        <f t="shared" si="3"/>
        <v>M12</v>
      </c>
    </row>
    <row r="16" spans="1:23" s="271" customFormat="1" ht="174">
      <c r="A16" s="253">
        <v>12</v>
      </c>
      <c r="B16" s="136" t="s">
        <v>4586</v>
      </c>
      <c r="C16" s="136" t="s">
        <v>4601</v>
      </c>
      <c r="D16" s="134" t="s">
        <v>4544</v>
      </c>
      <c r="E16" s="138" t="s">
        <v>4715</v>
      </c>
      <c r="F16" s="138"/>
      <c r="G16" s="239" t="s">
        <v>4989</v>
      </c>
      <c r="H16" s="135" t="s">
        <v>4988</v>
      </c>
      <c r="I16" s="253">
        <v>4</v>
      </c>
      <c r="J16" s="253">
        <v>2</v>
      </c>
      <c r="K16" s="253" t="str">
        <f t="shared" si="5"/>
        <v>E3</v>
      </c>
      <c r="L16" s="253" t="str">
        <f t="shared" si="1"/>
        <v>E3</v>
      </c>
      <c r="M16" s="253" t="str">
        <f>'2.2 BIA Process'!N19</f>
        <v>140 วัน</v>
      </c>
      <c r="N16" s="253" t="str">
        <f>'2.2 BIA Process'!O19</f>
        <v>140 วัน</v>
      </c>
      <c r="O16" s="270">
        <f>'2.2 BIA Process'!P19</f>
        <v>1</v>
      </c>
      <c r="P16" s="137" t="s">
        <v>4990</v>
      </c>
      <c r="Q16" s="253" t="s">
        <v>4935</v>
      </c>
      <c r="R16" s="253" t="s">
        <v>4936</v>
      </c>
      <c r="S16" s="253" t="s">
        <v>4930</v>
      </c>
      <c r="T16" s="253">
        <v>3</v>
      </c>
      <c r="U16" s="253">
        <v>2</v>
      </c>
      <c r="V16" s="253" t="str">
        <f t="shared" si="4"/>
        <v>H7</v>
      </c>
      <c r="W16" s="253" t="str">
        <f t="shared" si="3"/>
        <v>H7</v>
      </c>
    </row>
    <row r="17" spans="1:23" s="271" customFormat="1" ht="261">
      <c r="A17" s="253">
        <v>13</v>
      </c>
      <c r="B17" s="136" t="s">
        <v>4586</v>
      </c>
      <c r="C17" s="136" t="s">
        <v>4602</v>
      </c>
      <c r="D17" s="134" t="s">
        <v>4544</v>
      </c>
      <c r="E17" s="138" t="s">
        <v>4715</v>
      </c>
      <c r="F17" s="138"/>
      <c r="G17" s="240" t="s">
        <v>4960</v>
      </c>
      <c r="H17" s="137" t="s">
        <v>4951</v>
      </c>
      <c r="I17" s="253">
        <v>3</v>
      </c>
      <c r="J17" s="253">
        <v>1</v>
      </c>
      <c r="K17" s="253" t="str">
        <f t="shared" si="5"/>
        <v>M11</v>
      </c>
      <c r="L17" s="253" t="str">
        <f t="shared" si="1"/>
        <v>M11</v>
      </c>
      <c r="M17" s="253" t="str">
        <f>'2.2 BIA Process'!N20</f>
        <v>7 วัน</v>
      </c>
      <c r="N17" s="253" t="str">
        <f>'2.2 BIA Process'!O20</f>
        <v>7 วัน</v>
      </c>
      <c r="O17" s="270">
        <f>'2.2 BIA Process'!P20</f>
        <v>1</v>
      </c>
      <c r="P17" s="136" t="s">
        <v>4721</v>
      </c>
      <c r="Q17" s="253" t="s">
        <v>4935</v>
      </c>
      <c r="R17" s="253" t="s">
        <v>4936</v>
      </c>
      <c r="S17" s="253" t="s">
        <v>4931</v>
      </c>
      <c r="T17" s="253">
        <v>2</v>
      </c>
      <c r="U17" s="253">
        <v>1</v>
      </c>
      <c r="V17" s="253" t="str">
        <f t="shared" si="4"/>
        <v>L14</v>
      </c>
      <c r="W17" s="253" t="str">
        <f t="shared" si="3"/>
        <v>L14</v>
      </c>
    </row>
    <row r="18" spans="1:23" s="271" customFormat="1" ht="231.45" customHeight="1">
      <c r="A18" s="253">
        <v>14</v>
      </c>
      <c r="B18" s="136" t="s">
        <v>4589</v>
      </c>
      <c r="C18" s="136" t="s">
        <v>4603</v>
      </c>
      <c r="D18" s="134" t="s">
        <v>4544</v>
      </c>
      <c r="E18" s="138" t="s">
        <v>4715</v>
      </c>
      <c r="F18" s="138"/>
      <c r="G18" s="135" t="s">
        <v>4961</v>
      </c>
      <c r="H18" s="136" t="s">
        <v>4952</v>
      </c>
      <c r="I18" s="253">
        <v>4</v>
      </c>
      <c r="J18" s="253">
        <v>1</v>
      </c>
      <c r="K18" s="253" t="str">
        <f t="shared" ref="K18:K22" si="6">L18</f>
        <v>E4</v>
      </c>
      <c r="L18" s="253" t="str">
        <f t="shared" ref="L18:L22" si="7">IF(AND(J18=1,I18=1),"L16",IF(AND(J18=1,I18=2),"L14",IF(AND(J18=1,I18=3),"M11",IF(AND(J18=1,I18=4),"E4",IF(AND(J18=2,I18=1),"L15",IF(AND(J18=2,I18=2),"M12",IF(AND(J18=2,I18=3),"H7",IF(AND(J18=2,I18=4),"E3",IF(AND(J18=3,I18=1),"M13",IF(AND(J18=3,I18=2),"H9",IF(AND(J18=3,I18=3),"E6",IF(AND(J18=4,I18=4),"E2",IF(AND(J18=4,I18=1),"H10",IF(AND(I18=2,J18=4),"H8",IF(AND(J18=4,I18=3),"E5",IF(AND(J18=4,I18=4),"E1",FALSE))))))))))))))))</f>
        <v>E4</v>
      </c>
      <c r="M18" s="253" t="str">
        <f>'2.2 BIA Process'!N21</f>
        <v>7 วัน</v>
      </c>
      <c r="N18" s="253" t="str">
        <f>'2.2 BIA Process'!O21</f>
        <v>7 วัน</v>
      </c>
      <c r="O18" s="270">
        <f>'2.2 BIA Process'!P21</f>
        <v>1</v>
      </c>
      <c r="P18" s="236" t="s">
        <v>4927</v>
      </c>
      <c r="Q18" s="253" t="s">
        <v>4935</v>
      </c>
      <c r="R18" s="253" t="s">
        <v>4936</v>
      </c>
      <c r="S18" s="253" t="s">
        <v>4931</v>
      </c>
      <c r="T18" s="253">
        <v>3</v>
      </c>
      <c r="U18" s="253">
        <v>1</v>
      </c>
      <c r="V18" s="253" t="str">
        <f t="shared" ref="V18:V22" si="8">W18</f>
        <v>M11</v>
      </c>
      <c r="W18" s="253" t="str">
        <f t="shared" si="3"/>
        <v>M11</v>
      </c>
    </row>
    <row r="19" spans="1:23" s="271" customFormat="1" ht="226.2">
      <c r="A19" s="253">
        <v>15</v>
      </c>
      <c r="B19" s="136" t="s">
        <v>4591</v>
      </c>
      <c r="C19" s="136" t="s">
        <v>4604</v>
      </c>
      <c r="D19" s="134" t="s">
        <v>4544</v>
      </c>
      <c r="E19" s="138" t="s">
        <v>4715</v>
      </c>
      <c r="F19" s="138"/>
      <c r="G19" s="238" t="s">
        <v>4965</v>
      </c>
      <c r="H19" s="136" t="s">
        <v>4991</v>
      </c>
      <c r="I19" s="253">
        <v>4</v>
      </c>
      <c r="J19" s="253">
        <v>1</v>
      </c>
      <c r="K19" s="253" t="str">
        <f t="shared" si="6"/>
        <v>E4</v>
      </c>
      <c r="L19" s="253" t="str">
        <f t="shared" si="7"/>
        <v>E4</v>
      </c>
      <c r="M19" s="253" t="str">
        <f>'2.2 BIA Process'!N22</f>
        <v>5 วัน</v>
      </c>
      <c r="N19" s="253" t="str">
        <f>'2.2 BIA Process'!O22</f>
        <v>5 วัน</v>
      </c>
      <c r="O19" s="270">
        <f>'2.2 BIA Process'!P22</f>
        <v>1</v>
      </c>
      <c r="P19" s="135" t="s">
        <v>4928</v>
      </c>
      <c r="Q19" s="253" t="s">
        <v>4935</v>
      </c>
      <c r="R19" s="253" t="s">
        <v>4936</v>
      </c>
      <c r="S19" s="253" t="s">
        <v>4931</v>
      </c>
      <c r="T19" s="253">
        <v>2</v>
      </c>
      <c r="U19" s="253">
        <v>1</v>
      </c>
      <c r="V19" s="253" t="str">
        <f t="shared" si="8"/>
        <v>L14</v>
      </c>
      <c r="W19" s="253" t="str">
        <f t="shared" si="3"/>
        <v>L14</v>
      </c>
    </row>
    <row r="20" spans="1:23" s="271" customFormat="1" ht="139.19999999999999">
      <c r="A20" s="253">
        <v>16</v>
      </c>
      <c r="B20" s="136" t="s">
        <v>4586</v>
      </c>
      <c r="C20" s="136" t="s">
        <v>4605</v>
      </c>
      <c r="D20" s="134" t="s">
        <v>4544</v>
      </c>
      <c r="E20" s="138" t="s">
        <v>4715</v>
      </c>
      <c r="F20" s="138"/>
      <c r="G20" s="240" t="s">
        <v>4966</v>
      </c>
      <c r="H20" s="240" t="s">
        <v>4992</v>
      </c>
      <c r="I20" s="253">
        <v>2</v>
      </c>
      <c r="J20" s="253">
        <v>2</v>
      </c>
      <c r="K20" s="253" t="str">
        <f t="shared" si="6"/>
        <v>M12</v>
      </c>
      <c r="L20" s="253" t="str">
        <f t="shared" si="7"/>
        <v>M12</v>
      </c>
      <c r="M20" s="253" t="str">
        <f>'2.2 BIA Process'!N23</f>
        <v>7 วัน</v>
      </c>
      <c r="N20" s="253" t="str">
        <f>'2.2 BIA Process'!O23</f>
        <v>7 วัน</v>
      </c>
      <c r="O20" s="270">
        <f>'2.2 BIA Process'!P23</f>
        <v>1</v>
      </c>
      <c r="P20" s="137" t="s">
        <v>4722</v>
      </c>
      <c r="Q20" s="253" t="s">
        <v>4935</v>
      </c>
      <c r="R20" s="253" t="s">
        <v>4936</v>
      </c>
      <c r="S20" s="253" t="s">
        <v>4930</v>
      </c>
      <c r="T20" s="253">
        <v>1</v>
      </c>
      <c r="U20" s="253">
        <v>2</v>
      </c>
      <c r="V20" s="253" t="str">
        <f t="shared" si="8"/>
        <v>L15</v>
      </c>
      <c r="W20" s="253" t="str">
        <f t="shared" si="3"/>
        <v>L15</v>
      </c>
    </row>
    <row r="21" spans="1:23" s="271" customFormat="1" ht="191.4">
      <c r="A21" s="253">
        <v>17</v>
      </c>
      <c r="B21" s="136" t="s">
        <v>4586</v>
      </c>
      <c r="C21" s="136" t="s">
        <v>4606</v>
      </c>
      <c r="D21" s="134" t="s">
        <v>4544</v>
      </c>
      <c r="E21" s="138" t="s">
        <v>4715</v>
      </c>
      <c r="F21" s="138"/>
      <c r="G21" s="241" t="s">
        <v>4954</v>
      </c>
      <c r="H21" s="240" t="s">
        <v>4964</v>
      </c>
      <c r="I21" s="253">
        <v>4</v>
      </c>
      <c r="J21" s="253">
        <v>1</v>
      </c>
      <c r="K21" s="253" t="str">
        <f t="shared" si="6"/>
        <v>E4</v>
      </c>
      <c r="L21" s="253" t="str">
        <f t="shared" si="7"/>
        <v>E4</v>
      </c>
      <c r="M21" s="253" t="str">
        <f>'2.2 BIA Process'!N24</f>
        <v>90 วัน</v>
      </c>
      <c r="N21" s="253" t="str">
        <f>'2.2 BIA Process'!O24</f>
        <v>90 วัน</v>
      </c>
      <c r="O21" s="270">
        <f>'2.2 BIA Process'!P24</f>
        <v>1</v>
      </c>
      <c r="P21" s="137" t="s">
        <v>4723</v>
      </c>
      <c r="Q21" s="253" t="s">
        <v>4935</v>
      </c>
      <c r="R21" s="253" t="s">
        <v>4936</v>
      </c>
      <c r="S21" s="253" t="s">
        <v>4930</v>
      </c>
      <c r="T21" s="253">
        <v>3</v>
      </c>
      <c r="U21" s="253">
        <v>1</v>
      </c>
      <c r="V21" s="253" t="str">
        <f t="shared" si="8"/>
        <v>M11</v>
      </c>
      <c r="W21" s="253" t="str">
        <f t="shared" si="3"/>
        <v>M11</v>
      </c>
    </row>
    <row r="22" spans="1:23" s="271" customFormat="1" ht="52.2">
      <c r="A22" s="253">
        <v>18</v>
      </c>
      <c r="B22" s="136" t="s">
        <v>4586</v>
      </c>
      <c r="C22" s="136" t="s">
        <v>4607</v>
      </c>
      <c r="D22" s="134" t="s">
        <v>4544</v>
      </c>
      <c r="E22" s="138" t="s">
        <v>4715</v>
      </c>
      <c r="F22" s="138"/>
      <c r="G22" s="240" t="s">
        <v>4955</v>
      </c>
      <c r="H22" s="138" t="s">
        <v>4956</v>
      </c>
      <c r="I22" s="253">
        <v>2</v>
      </c>
      <c r="J22" s="253">
        <v>2</v>
      </c>
      <c r="K22" s="253" t="str">
        <f t="shared" si="6"/>
        <v>M12</v>
      </c>
      <c r="L22" s="253" t="str">
        <f t="shared" si="7"/>
        <v>M12</v>
      </c>
      <c r="M22" s="253" t="str">
        <f>'2.2 BIA Process'!N25</f>
        <v>24 ชม</v>
      </c>
      <c r="N22" s="253" t="str">
        <f>'2.2 BIA Process'!O25</f>
        <v>1 ชม</v>
      </c>
      <c r="O22" s="270">
        <f>'2.2 BIA Process'!P25</f>
        <v>1</v>
      </c>
      <c r="P22" s="137" t="s">
        <v>4723</v>
      </c>
      <c r="Q22" s="253" t="s">
        <v>4935</v>
      </c>
      <c r="R22" s="253" t="s">
        <v>4936</v>
      </c>
      <c r="S22" s="253" t="s">
        <v>4930</v>
      </c>
      <c r="T22" s="253">
        <v>1</v>
      </c>
      <c r="U22" s="253">
        <v>2</v>
      </c>
      <c r="V22" s="253" t="str">
        <f t="shared" si="8"/>
        <v>L15</v>
      </c>
      <c r="W22" s="253" t="str">
        <f t="shared" si="3"/>
        <v>L15</v>
      </c>
    </row>
    <row r="23" spans="1:23" s="271" customFormat="1" ht="139.19999999999999">
      <c r="A23" s="253">
        <v>19</v>
      </c>
      <c r="B23" s="136" t="s">
        <v>4586</v>
      </c>
      <c r="C23" s="136" t="s">
        <v>4608</v>
      </c>
      <c r="D23" s="134" t="s">
        <v>4544</v>
      </c>
      <c r="E23" s="138" t="s">
        <v>4715</v>
      </c>
      <c r="F23" s="138"/>
      <c r="G23" s="240" t="s">
        <v>4957</v>
      </c>
      <c r="H23" s="138" t="s">
        <v>4958</v>
      </c>
      <c r="I23" s="253">
        <v>4</v>
      </c>
      <c r="J23" s="253">
        <v>2</v>
      </c>
      <c r="K23" s="253" t="str">
        <f t="shared" ref="K23" si="9">L23</f>
        <v>E3</v>
      </c>
      <c r="L23" s="253" t="str">
        <f t="shared" ref="L23" si="10">IF(AND(J23=1,I23=1),"L16",IF(AND(J23=1,I23=2),"L14",IF(AND(J23=1,I23=3),"M11",IF(AND(J23=1,I23=4),"E4",IF(AND(J23=2,I23=1),"L15",IF(AND(J23=2,I23=2),"M12",IF(AND(J23=2,I23=3),"H7",IF(AND(J23=2,I23=4),"E3",IF(AND(J23=3,I23=1),"M13",IF(AND(J23=3,I23=2),"H9",IF(AND(J23=3,I23=3),"E6",IF(AND(J23=4,I23=4),"E2",IF(AND(J23=4,I23=1),"H10",IF(AND(I23=2,J23=4),"H8",IF(AND(J23=4,I23=3),"E5",IF(AND(J23=4,I23=4),"E1",FALSE))))))))))))))))</f>
        <v>E3</v>
      </c>
      <c r="M23" s="253" t="str">
        <f>'2.2 BIA Process'!N26</f>
        <v>60 วัน</v>
      </c>
      <c r="N23" s="253" t="str">
        <f>'2.2 BIA Process'!O26</f>
        <v>60 วัน</v>
      </c>
      <c r="O23" s="270">
        <f>'2.2 BIA Process'!P26</f>
        <v>1</v>
      </c>
      <c r="P23" s="137" t="s">
        <v>4932</v>
      </c>
      <c r="Q23" s="253" t="s">
        <v>4935</v>
      </c>
      <c r="R23" s="253" t="s">
        <v>4936</v>
      </c>
      <c r="S23" s="253" t="s">
        <v>4930</v>
      </c>
      <c r="T23" s="253">
        <v>3</v>
      </c>
      <c r="U23" s="253">
        <v>2</v>
      </c>
      <c r="V23" s="253" t="str">
        <f t="shared" ref="V23" si="11">W23</f>
        <v>H7</v>
      </c>
      <c r="W23" s="253" t="str">
        <f t="shared" si="3"/>
        <v>H7</v>
      </c>
    </row>
  </sheetData>
  <mergeCells count="13">
    <mergeCell ref="G1:G2"/>
    <mergeCell ref="H1:H2"/>
    <mergeCell ref="A1:A2"/>
    <mergeCell ref="B1:B2"/>
    <mergeCell ref="C1:C2"/>
    <mergeCell ref="D1:D2"/>
    <mergeCell ref="E1:E2"/>
    <mergeCell ref="F1:F2"/>
    <mergeCell ref="I1:O1"/>
    <mergeCell ref="P1:P2"/>
    <mergeCell ref="Q1:R1"/>
    <mergeCell ref="S1:S2"/>
    <mergeCell ref="T1:W1"/>
  </mergeCells>
  <conditionalFormatting sqref="K3:K4">
    <cfRule type="cellIs" dxfId="112" priority="96" operator="equal">
      <formula>"H8"</formula>
    </cfRule>
    <cfRule type="cellIs" dxfId="111" priority="97" operator="equal">
      <formula>"H10"</formula>
    </cfRule>
    <cfRule type="cellIs" dxfId="110" priority="98" operator="equal">
      <formula>"H9"</formula>
    </cfRule>
  </conditionalFormatting>
  <conditionalFormatting sqref="K3:K23">
    <cfRule type="cellIs" dxfId="109" priority="1" operator="equal">
      <formula>"E6"</formula>
    </cfRule>
    <cfRule type="cellIs" dxfId="108" priority="2" operator="equal">
      <formula>"E5"</formula>
    </cfRule>
    <cfRule type="cellIs" dxfId="107" priority="3" operator="equal">
      <formula>"E4"</formula>
    </cfRule>
    <cfRule type="cellIs" dxfId="106" priority="4" operator="equal">
      <formula>"E3"</formula>
    </cfRule>
    <cfRule type="cellIs" dxfId="105" priority="5" operator="equal">
      <formula>"E2"</formula>
    </cfRule>
    <cfRule type="cellIs" dxfId="104" priority="6" operator="equal">
      <formula>"E1"</formula>
    </cfRule>
    <cfRule type="cellIs" dxfId="103" priority="7" operator="equal">
      <formula>"H7"</formula>
    </cfRule>
    <cfRule type="cellIs" dxfId="102" priority="8" operator="equal">
      <formula>"M13"</formula>
    </cfRule>
    <cfRule type="cellIs" dxfId="101" priority="9" operator="equal">
      <formula>"M12"</formula>
    </cfRule>
    <cfRule type="cellIs" dxfId="100" priority="10" operator="equal">
      <formula>"M11"</formula>
    </cfRule>
    <cfRule type="cellIs" dxfId="99" priority="11" operator="equal">
      <formula>"L14"</formula>
    </cfRule>
    <cfRule type="cellIs" dxfId="98" priority="12" operator="equal">
      <formula>"L15"</formula>
    </cfRule>
    <cfRule type="cellIs" dxfId="97" priority="13" operator="equal">
      <formula>"L16"</formula>
    </cfRule>
  </conditionalFormatting>
  <conditionalFormatting sqref="K6">
    <cfRule type="cellIs" dxfId="96" priority="58" operator="equal">
      <formula>"H8"</formula>
    </cfRule>
    <cfRule type="cellIs" dxfId="95" priority="59" operator="equal">
      <formula>"H10"</formula>
    </cfRule>
    <cfRule type="cellIs" dxfId="94" priority="60" operator="equal">
      <formula>"H9"</formula>
    </cfRule>
  </conditionalFormatting>
  <conditionalFormatting sqref="K17:K23">
    <cfRule type="cellIs" dxfId="93" priority="144" operator="equal">
      <formula>"H8"</formula>
    </cfRule>
  </conditionalFormatting>
  <conditionalFormatting sqref="V3:V23">
    <cfRule type="cellIs" dxfId="92" priority="14" operator="equal">
      <formula>"E5"</formula>
    </cfRule>
    <cfRule type="cellIs" dxfId="91" priority="15" operator="equal">
      <formula>"E1"</formula>
    </cfRule>
    <cfRule type="cellIs" dxfId="90" priority="16" operator="equal">
      <formula>"E6"</formula>
    </cfRule>
    <cfRule type="cellIs" dxfId="89" priority="17" operator="equal">
      <formula>"E2"</formula>
    </cfRule>
    <cfRule type="cellIs" dxfId="88" priority="18" operator="equal">
      <formula>"E3"</formula>
    </cfRule>
    <cfRule type="cellIs" dxfId="87" priority="19" operator="equal">
      <formula>"E4"</formula>
    </cfRule>
    <cfRule type="cellIs" dxfId="86" priority="20" operator="equal">
      <formula>"H8"</formula>
    </cfRule>
    <cfRule type="cellIs" dxfId="85" priority="21" operator="equal">
      <formula>"H10"</formula>
    </cfRule>
    <cfRule type="cellIs" dxfId="84" priority="22" operator="equal">
      <formula>"H9"</formula>
    </cfRule>
    <cfRule type="cellIs" dxfId="83" priority="23" operator="equal">
      <formula>"H7"</formula>
    </cfRule>
    <cfRule type="cellIs" dxfId="82" priority="24" operator="equal">
      <formula>"M13"</formula>
    </cfRule>
    <cfRule type="cellIs" dxfId="81" priority="25" operator="equal">
      <formula>"M12"</formula>
    </cfRule>
    <cfRule type="cellIs" dxfId="80" priority="26" operator="equal">
      <formula>"M11"</formula>
    </cfRule>
    <cfRule type="cellIs" dxfId="79" priority="27" operator="equal">
      <formula>"L14"</formula>
    </cfRule>
    <cfRule type="cellIs" dxfId="78" priority="28" operator="equal">
      <formula>"L15"</formula>
    </cfRule>
    <cfRule type="cellIs" dxfId="77" priority="29" operator="equal">
      <formula>"L16"</formula>
    </cfRule>
  </conditionalFormatting>
  <dataValidations count="2">
    <dataValidation type="list" allowBlank="1" showInputMessage="1" showErrorMessage="1" sqref="I12:I23 J11:J23 D3:D23 I3:J9" xr:uid="{00000000-0002-0000-0800-000001000000}"/>
    <dataValidation type="list" allowBlank="1" showInputMessage="1" showErrorMessage="1" sqref="B3:C23" xr:uid="{00000000-0002-0000-0800-000002000000}">
      <formula1>#REF!</formula1>
    </dataValidation>
  </dataValidations>
  <printOptions horizontalCentered="1"/>
  <pageMargins left="0.11811023622047245" right="0" top="0.35433070866141736" bottom="0.15748031496062992" header="0.31496062992125984" footer="0"/>
  <pageSetup paperSize="9" scale="57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Data1!$E$78:$E$82</xm:f>
          </x14:formula1>
          <xm:sqref>I10:J10 T3:U23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2:F95"/>
  <sheetViews>
    <sheetView showGridLines="0" topLeftCell="A14" zoomScale="79" zoomScaleNormal="100" workbookViewId="0">
      <selection activeCell="G14" sqref="G14:H16"/>
    </sheetView>
  </sheetViews>
  <sheetFormatPr defaultRowHeight="14.4"/>
  <cols>
    <col min="1" max="1" width="20" customWidth="1"/>
    <col min="2" max="6" width="24" customWidth="1"/>
  </cols>
  <sheetData>
    <row r="2" spans="1:6" ht="27.6" customHeight="1" thickBot="1">
      <c r="A2" s="400" t="s">
        <v>4807</v>
      </c>
      <c r="B2" s="400"/>
      <c r="C2" s="400"/>
      <c r="D2" s="400"/>
      <c r="E2" s="400"/>
    </row>
    <row r="3" spans="1:6" ht="20.399999999999999">
      <c r="A3" s="197"/>
      <c r="B3" s="401" t="s">
        <v>4321</v>
      </c>
      <c r="C3" s="402"/>
      <c r="D3" s="402"/>
      <c r="E3" s="403"/>
      <c r="F3" s="198"/>
    </row>
    <row r="4" spans="1:6" ht="39.6">
      <c r="A4" s="199" t="s">
        <v>4807</v>
      </c>
      <c r="B4" s="200" t="s">
        <v>4808</v>
      </c>
      <c r="C4" s="201" t="s">
        <v>4809</v>
      </c>
      <c r="D4" s="202" t="s">
        <v>4810</v>
      </c>
      <c r="E4" s="203" t="s">
        <v>4811</v>
      </c>
      <c r="F4" s="404"/>
    </row>
    <row r="5" spans="1:6" ht="18" thickBot="1">
      <c r="A5" s="204"/>
      <c r="B5" s="205">
        <v>1</v>
      </c>
      <c r="C5" s="206">
        <v>2</v>
      </c>
      <c r="D5" s="207">
        <v>3</v>
      </c>
      <c r="E5" s="208">
        <v>4</v>
      </c>
      <c r="F5" s="404"/>
    </row>
    <row r="6" spans="1:6" ht="18" thickBot="1">
      <c r="A6" s="405" t="s">
        <v>4326</v>
      </c>
      <c r="B6" s="209" t="s">
        <v>4812</v>
      </c>
      <c r="C6" s="210" t="s">
        <v>4813</v>
      </c>
      <c r="D6" s="210" t="s">
        <v>4814</v>
      </c>
      <c r="E6" s="210" t="s">
        <v>4815</v>
      </c>
      <c r="F6" s="211"/>
    </row>
    <row r="7" spans="1:6" ht="18" thickBot="1">
      <c r="A7" s="406"/>
      <c r="B7" s="209" t="s">
        <v>4816</v>
      </c>
      <c r="C7" s="209" t="s">
        <v>4817</v>
      </c>
      <c r="D7" s="209" t="s">
        <v>4818</v>
      </c>
      <c r="E7" s="209" t="s">
        <v>4819</v>
      </c>
      <c r="F7" s="211"/>
    </row>
    <row r="13" spans="1:6" ht="25.35" customHeight="1" thickBot="1">
      <c r="A13" s="407" t="s">
        <v>4820</v>
      </c>
      <c r="B13" s="407"/>
      <c r="C13" s="407"/>
      <c r="D13" s="407"/>
      <c r="E13" s="407"/>
      <c r="F13" s="407"/>
    </row>
    <row r="14" spans="1:6" ht="18" thickBot="1">
      <c r="A14" s="384" t="s">
        <v>4821</v>
      </c>
      <c r="B14" s="385"/>
      <c r="C14" s="390" t="s">
        <v>4321</v>
      </c>
      <c r="D14" s="391"/>
      <c r="E14" s="391"/>
      <c r="F14" s="392"/>
    </row>
    <row r="15" spans="1:6" ht="17.399999999999999">
      <c r="A15" s="386"/>
      <c r="B15" s="387"/>
      <c r="C15" s="200" t="s">
        <v>4822</v>
      </c>
      <c r="D15" s="201" t="s">
        <v>4809</v>
      </c>
      <c r="E15" s="202" t="s">
        <v>4810</v>
      </c>
      <c r="F15" s="203" t="s">
        <v>4811</v>
      </c>
    </row>
    <row r="16" spans="1:6" ht="18" thickBot="1">
      <c r="A16" s="388"/>
      <c r="B16" s="389"/>
      <c r="C16" s="205">
        <v>1</v>
      </c>
      <c r="D16" s="206">
        <v>2</v>
      </c>
      <c r="E16" s="207">
        <v>3</v>
      </c>
      <c r="F16" s="208">
        <v>4</v>
      </c>
    </row>
    <row r="17" spans="1:6" ht="15.6">
      <c r="A17" s="212"/>
      <c r="B17" s="213" t="s">
        <v>4823</v>
      </c>
      <c r="C17" s="398" t="s">
        <v>4824</v>
      </c>
      <c r="D17" s="378" t="s">
        <v>4825</v>
      </c>
      <c r="E17" s="378" t="s">
        <v>4826</v>
      </c>
      <c r="F17" s="378" t="s">
        <v>4827</v>
      </c>
    </row>
    <row r="18" spans="1:6" ht="16.2" thickBot="1">
      <c r="A18" s="212"/>
      <c r="B18" s="214" t="s">
        <v>4828</v>
      </c>
      <c r="C18" s="399"/>
      <c r="D18" s="380"/>
      <c r="E18" s="380"/>
      <c r="F18" s="380"/>
    </row>
    <row r="19" spans="1:6" ht="15.6">
      <c r="A19" s="212"/>
      <c r="B19" s="213" t="s">
        <v>4829</v>
      </c>
      <c r="C19" s="398" t="s">
        <v>4824</v>
      </c>
      <c r="D19" s="378" t="s">
        <v>4825</v>
      </c>
      <c r="E19" s="378" t="s">
        <v>4826</v>
      </c>
      <c r="F19" s="378" t="s">
        <v>4827</v>
      </c>
    </row>
    <row r="20" spans="1:6" ht="18" thickBot="1">
      <c r="A20" s="215">
        <v>-1</v>
      </c>
      <c r="B20" s="214" t="s">
        <v>4830</v>
      </c>
      <c r="C20" s="399"/>
      <c r="D20" s="380"/>
      <c r="E20" s="380"/>
      <c r="F20" s="380"/>
    </row>
    <row r="21" spans="1:6" ht="17.399999999999999">
      <c r="A21" s="215" t="s">
        <v>4831</v>
      </c>
      <c r="B21" s="213" t="s">
        <v>4832</v>
      </c>
      <c r="C21" s="398" t="s">
        <v>4824</v>
      </c>
      <c r="D21" s="378" t="s">
        <v>4825</v>
      </c>
      <c r="E21" s="378" t="s">
        <v>4826</v>
      </c>
      <c r="F21" s="378" t="s">
        <v>4827</v>
      </c>
    </row>
    <row r="22" spans="1:6" ht="16.2" thickBot="1">
      <c r="A22" s="216"/>
      <c r="B22" s="214" t="s">
        <v>4833</v>
      </c>
      <c r="C22" s="399"/>
      <c r="D22" s="380"/>
      <c r="E22" s="380"/>
      <c r="F22" s="380"/>
    </row>
    <row r="23" spans="1:6" ht="15.6">
      <c r="A23" s="216"/>
      <c r="B23" s="213" t="s">
        <v>4834</v>
      </c>
      <c r="C23" s="398" t="s">
        <v>4824</v>
      </c>
      <c r="D23" s="378" t="s">
        <v>4825</v>
      </c>
      <c r="E23" s="378" t="s">
        <v>4826</v>
      </c>
      <c r="F23" s="378" t="s">
        <v>4827</v>
      </c>
    </row>
    <row r="24" spans="1:6" ht="16.2" thickBot="1">
      <c r="A24" s="216"/>
      <c r="B24" s="214" t="s">
        <v>4835</v>
      </c>
      <c r="C24" s="399"/>
      <c r="D24" s="380"/>
      <c r="E24" s="380"/>
      <c r="F24" s="380"/>
    </row>
    <row r="25" spans="1:6" ht="17.399999999999999">
      <c r="A25" s="216"/>
      <c r="B25" s="213" t="s">
        <v>4836</v>
      </c>
      <c r="C25" s="217" t="s">
        <v>4837</v>
      </c>
      <c r="D25" s="218" t="s">
        <v>4838</v>
      </c>
      <c r="E25" s="218" t="s">
        <v>4839</v>
      </c>
      <c r="F25" s="218" t="s">
        <v>4840</v>
      </c>
    </row>
    <row r="26" spans="1:6" ht="23.25" customHeight="1" thickBot="1">
      <c r="A26" s="216"/>
      <c r="B26" s="214" t="s">
        <v>4841</v>
      </c>
      <c r="C26" s="209" t="s">
        <v>4842</v>
      </c>
      <c r="D26" s="209" t="s">
        <v>4842</v>
      </c>
      <c r="E26" s="209" t="s">
        <v>4842</v>
      </c>
      <c r="F26" s="209" t="s">
        <v>4842</v>
      </c>
    </row>
    <row r="27" spans="1:6" ht="30" customHeight="1" thickBot="1">
      <c r="A27" s="216"/>
      <c r="B27" s="214" t="s">
        <v>4843</v>
      </c>
      <c r="C27" s="210" t="s">
        <v>4844</v>
      </c>
      <c r="D27" s="209" t="s">
        <v>4845</v>
      </c>
      <c r="E27" s="209" t="s">
        <v>4846</v>
      </c>
      <c r="F27" s="209" t="s">
        <v>4847</v>
      </c>
    </row>
    <row r="28" spans="1:6" ht="17.399999999999999">
      <c r="A28" s="216"/>
      <c r="B28" s="213" t="s">
        <v>4848</v>
      </c>
      <c r="C28" s="217" t="s">
        <v>4849</v>
      </c>
      <c r="D28" s="218" t="s">
        <v>4825</v>
      </c>
      <c r="E28" s="218" t="s">
        <v>4826</v>
      </c>
      <c r="F28" s="218" t="s">
        <v>4827</v>
      </c>
    </row>
    <row r="29" spans="1:6" ht="23.25" customHeight="1" thickBot="1">
      <c r="A29" s="219"/>
      <c r="B29" s="214" t="s">
        <v>4850</v>
      </c>
      <c r="C29" s="209" t="s">
        <v>4842</v>
      </c>
      <c r="D29" s="209" t="s">
        <v>4842</v>
      </c>
      <c r="E29" s="209" t="s">
        <v>4842</v>
      </c>
      <c r="F29" s="209" t="s">
        <v>4842</v>
      </c>
    </row>
    <row r="30" spans="1:6" ht="15" thickBot="1"/>
    <row r="31" spans="1:6" ht="18" thickBot="1">
      <c r="A31" s="384" t="s">
        <v>4821</v>
      </c>
      <c r="B31" s="385"/>
      <c r="C31" s="390" t="s">
        <v>4321</v>
      </c>
      <c r="D31" s="391"/>
      <c r="E31" s="391"/>
      <c r="F31" s="392"/>
    </row>
    <row r="32" spans="1:6" ht="17.399999999999999">
      <c r="A32" s="386"/>
      <c r="B32" s="387"/>
      <c r="C32" s="200" t="s">
        <v>4822</v>
      </c>
      <c r="D32" s="201" t="s">
        <v>4809</v>
      </c>
      <c r="E32" s="202" t="s">
        <v>4810</v>
      </c>
      <c r="F32" s="203" t="s">
        <v>4811</v>
      </c>
    </row>
    <row r="33" spans="1:6" ht="18" thickBot="1">
      <c r="A33" s="388"/>
      <c r="B33" s="389"/>
      <c r="C33" s="205">
        <v>1</v>
      </c>
      <c r="D33" s="206">
        <v>2</v>
      </c>
      <c r="E33" s="207">
        <v>3</v>
      </c>
      <c r="F33" s="208">
        <v>4</v>
      </c>
    </row>
    <row r="34" spans="1:6" ht="17.399999999999999">
      <c r="A34" s="215">
        <v>-2</v>
      </c>
      <c r="B34" s="396" t="s">
        <v>4851</v>
      </c>
      <c r="C34" s="381" t="s">
        <v>4368</v>
      </c>
      <c r="D34" s="381" t="s">
        <v>4852</v>
      </c>
      <c r="E34" s="381" t="s">
        <v>4853</v>
      </c>
      <c r="F34" s="381" t="s">
        <v>4854</v>
      </c>
    </row>
    <row r="35" spans="1:6" ht="65.7" customHeight="1" thickBot="1">
      <c r="A35" s="215" t="s">
        <v>4855</v>
      </c>
      <c r="B35" s="397"/>
      <c r="C35" s="383"/>
      <c r="D35" s="383"/>
      <c r="E35" s="383"/>
      <c r="F35" s="383"/>
    </row>
    <row r="36" spans="1:6" ht="35.4" thickBot="1">
      <c r="A36" s="220" t="s">
        <v>4856</v>
      </c>
      <c r="B36" s="221" t="s">
        <v>4857</v>
      </c>
      <c r="C36" s="222" t="s">
        <v>4858</v>
      </c>
      <c r="D36" s="222" t="s">
        <v>4859</v>
      </c>
      <c r="E36" s="222" t="s">
        <v>4860</v>
      </c>
      <c r="F36" s="222" t="s">
        <v>4861</v>
      </c>
    </row>
    <row r="37" spans="1:6" ht="15" thickBot="1"/>
    <row r="38" spans="1:6" ht="18" thickBot="1">
      <c r="A38" s="384" t="s">
        <v>4821</v>
      </c>
      <c r="B38" s="385"/>
      <c r="C38" s="390" t="s">
        <v>4321</v>
      </c>
      <c r="D38" s="391"/>
      <c r="E38" s="391"/>
      <c r="F38" s="392"/>
    </row>
    <row r="39" spans="1:6" ht="17.399999999999999">
      <c r="A39" s="386"/>
      <c r="B39" s="387"/>
      <c r="C39" s="200" t="s">
        <v>4822</v>
      </c>
      <c r="D39" s="201" t="s">
        <v>4809</v>
      </c>
      <c r="E39" s="202" t="s">
        <v>4810</v>
      </c>
      <c r="F39" s="203" t="s">
        <v>4811</v>
      </c>
    </row>
    <row r="40" spans="1:6" ht="18" thickBot="1">
      <c r="A40" s="388"/>
      <c r="B40" s="389"/>
      <c r="C40" s="205">
        <v>1</v>
      </c>
      <c r="D40" s="206">
        <v>2</v>
      </c>
      <c r="E40" s="207">
        <v>3</v>
      </c>
      <c r="F40" s="208">
        <v>4</v>
      </c>
    </row>
    <row r="41" spans="1:6" ht="17.399999999999999">
      <c r="A41" s="212"/>
      <c r="B41" s="223"/>
      <c r="C41" s="381" t="s">
        <v>4862</v>
      </c>
      <c r="D41" s="381" t="s">
        <v>4863</v>
      </c>
      <c r="E41" s="381" t="s">
        <v>4864</v>
      </c>
      <c r="F41" s="381" t="s">
        <v>4865</v>
      </c>
    </row>
    <row r="42" spans="1:6" ht="17.399999999999999">
      <c r="A42" s="224"/>
      <c r="B42" s="223"/>
      <c r="C42" s="382"/>
      <c r="D42" s="382"/>
      <c r="E42" s="382"/>
      <c r="F42" s="382"/>
    </row>
    <row r="43" spans="1:6" ht="17.399999999999999">
      <c r="A43" s="224"/>
      <c r="B43" s="225" t="s">
        <v>4866</v>
      </c>
      <c r="C43" s="382"/>
      <c r="D43" s="382"/>
      <c r="E43" s="382"/>
      <c r="F43" s="382"/>
    </row>
    <row r="44" spans="1:6" ht="17.399999999999999">
      <c r="A44" s="215">
        <v>-3</v>
      </c>
      <c r="B44" s="225" t="s">
        <v>4867</v>
      </c>
      <c r="C44" s="382"/>
      <c r="D44" s="382"/>
      <c r="E44" s="382"/>
      <c r="F44" s="382"/>
    </row>
    <row r="45" spans="1:6" ht="17.399999999999999">
      <c r="A45" s="215" t="s">
        <v>4868</v>
      </c>
      <c r="B45" s="226"/>
      <c r="C45" s="382"/>
      <c r="D45" s="382"/>
      <c r="E45" s="382"/>
      <c r="F45" s="382"/>
    </row>
    <row r="46" spans="1:6" ht="18" thickBot="1">
      <c r="A46" s="215" t="s">
        <v>4869</v>
      </c>
      <c r="B46" s="227"/>
      <c r="C46" s="383"/>
      <c r="D46" s="383"/>
      <c r="E46" s="383"/>
      <c r="F46" s="383"/>
    </row>
    <row r="47" spans="1:6" ht="33.6" customHeight="1">
      <c r="A47" s="215" t="s">
        <v>4870</v>
      </c>
      <c r="B47" s="223"/>
      <c r="C47" s="381" t="s">
        <v>4871</v>
      </c>
      <c r="D47" s="381" t="s">
        <v>4872</v>
      </c>
      <c r="E47" s="381" t="s">
        <v>4873</v>
      </c>
      <c r="F47" s="381" t="s">
        <v>4874</v>
      </c>
    </row>
    <row r="48" spans="1:6" ht="17.399999999999999">
      <c r="A48" s="216"/>
      <c r="B48" s="223"/>
      <c r="C48" s="382"/>
      <c r="D48" s="382"/>
      <c r="E48" s="382"/>
      <c r="F48" s="382"/>
    </row>
    <row r="49" spans="1:6" ht="17.399999999999999">
      <c r="A49" s="216"/>
      <c r="B49" s="223"/>
      <c r="C49" s="382"/>
      <c r="D49" s="382"/>
      <c r="E49" s="382"/>
      <c r="F49" s="382"/>
    </row>
    <row r="50" spans="1:6" ht="18" thickBot="1">
      <c r="A50" s="219"/>
      <c r="B50" s="228" t="s">
        <v>4413</v>
      </c>
      <c r="C50" s="383"/>
      <c r="D50" s="383"/>
      <c r="E50" s="383"/>
      <c r="F50" s="383"/>
    </row>
    <row r="51" spans="1:6" ht="15" thickBot="1"/>
    <row r="52" spans="1:6" ht="18" thickBot="1">
      <c r="A52" s="384" t="s">
        <v>4821</v>
      </c>
      <c r="B52" s="385"/>
      <c r="C52" s="390" t="s">
        <v>4321</v>
      </c>
      <c r="D52" s="391"/>
      <c r="E52" s="391"/>
      <c r="F52" s="392"/>
    </row>
    <row r="53" spans="1:6" ht="17.399999999999999">
      <c r="A53" s="386"/>
      <c r="B53" s="387"/>
      <c r="C53" s="200" t="s">
        <v>4822</v>
      </c>
      <c r="D53" s="201" t="s">
        <v>4809</v>
      </c>
      <c r="E53" s="202" t="s">
        <v>4810</v>
      </c>
      <c r="F53" s="203" t="s">
        <v>4811</v>
      </c>
    </row>
    <row r="54" spans="1:6" ht="18" thickBot="1">
      <c r="A54" s="388"/>
      <c r="B54" s="389"/>
      <c r="C54" s="205">
        <v>1</v>
      </c>
      <c r="D54" s="206">
        <v>2</v>
      </c>
      <c r="E54" s="207">
        <v>3</v>
      </c>
      <c r="F54" s="208">
        <v>4</v>
      </c>
    </row>
    <row r="55" spans="1:6" ht="17.399999999999999">
      <c r="A55" s="212"/>
      <c r="B55" s="223"/>
      <c r="C55" s="381" t="s">
        <v>4875</v>
      </c>
      <c r="D55" s="381" t="s">
        <v>4876</v>
      </c>
      <c r="E55" s="381" t="s">
        <v>4877</v>
      </c>
      <c r="F55" s="381" t="s">
        <v>4878</v>
      </c>
    </row>
    <row r="56" spans="1:6" ht="17.399999999999999">
      <c r="A56" s="224"/>
      <c r="B56" s="223"/>
      <c r="C56" s="382"/>
      <c r="D56" s="382"/>
      <c r="E56" s="382"/>
      <c r="F56" s="382"/>
    </row>
    <row r="57" spans="1:6" ht="17.399999999999999">
      <c r="A57" s="215">
        <v>-4</v>
      </c>
      <c r="B57" s="223"/>
      <c r="C57" s="382"/>
      <c r="D57" s="382"/>
      <c r="E57" s="382"/>
      <c r="F57" s="382"/>
    </row>
    <row r="58" spans="1:6" ht="17.399999999999999">
      <c r="A58" s="215" t="s">
        <v>4879</v>
      </c>
      <c r="B58" s="225" t="s">
        <v>4879</v>
      </c>
      <c r="C58" s="382"/>
      <c r="D58" s="382"/>
      <c r="E58" s="382"/>
      <c r="F58" s="382"/>
    </row>
    <row r="59" spans="1:6" ht="18" thickBot="1">
      <c r="A59" s="220" t="s">
        <v>4880</v>
      </c>
      <c r="B59" s="227"/>
      <c r="C59" s="383"/>
      <c r="D59" s="383"/>
      <c r="E59" s="383"/>
      <c r="F59" s="383"/>
    </row>
    <row r="60" spans="1:6" ht="15" thickBot="1"/>
    <row r="61" spans="1:6" ht="18" thickBot="1">
      <c r="A61" s="384" t="s">
        <v>4821</v>
      </c>
      <c r="B61" s="385"/>
      <c r="C61" s="390" t="s">
        <v>4321</v>
      </c>
      <c r="D61" s="391"/>
      <c r="E61" s="391"/>
      <c r="F61" s="392"/>
    </row>
    <row r="62" spans="1:6" ht="17.399999999999999">
      <c r="A62" s="386"/>
      <c r="B62" s="387"/>
      <c r="C62" s="200" t="s">
        <v>4822</v>
      </c>
      <c r="D62" s="201" t="s">
        <v>4809</v>
      </c>
      <c r="E62" s="202" t="s">
        <v>4810</v>
      </c>
      <c r="F62" s="203" t="s">
        <v>4811</v>
      </c>
    </row>
    <row r="63" spans="1:6" ht="18" thickBot="1">
      <c r="A63" s="388"/>
      <c r="B63" s="389"/>
      <c r="C63" s="205">
        <v>1</v>
      </c>
      <c r="D63" s="206">
        <v>2</v>
      </c>
      <c r="E63" s="207">
        <v>3</v>
      </c>
      <c r="F63" s="208">
        <v>4</v>
      </c>
    </row>
    <row r="64" spans="1:6" ht="17.399999999999999">
      <c r="A64" s="224"/>
      <c r="B64" s="393" t="s">
        <v>4881</v>
      </c>
      <c r="C64" s="381" t="s">
        <v>4882</v>
      </c>
      <c r="D64" s="381" t="s">
        <v>4883</v>
      </c>
      <c r="E64" s="381" t="s">
        <v>4884</v>
      </c>
      <c r="F64" s="381" t="s">
        <v>4885</v>
      </c>
    </row>
    <row r="65" spans="1:6" ht="17.399999999999999">
      <c r="A65" s="215">
        <v>-5</v>
      </c>
      <c r="B65" s="394"/>
      <c r="C65" s="382"/>
      <c r="D65" s="382"/>
      <c r="E65" s="382"/>
      <c r="F65" s="382"/>
    </row>
    <row r="66" spans="1:6" ht="18" thickBot="1">
      <c r="A66" s="215" t="s">
        <v>4886</v>
      </c>
      <c r="B66" s="395"/>
      <c r="C66" s="383"/>
      <c r="D66" s="383"/>
      <c r="E66" s="383"/>
      <c r="F66" s="383"/>
    </row>
    <row r="67" spans="1:6" ht="35.4" thickBot="1">
      <c r="A67" s="220" t="s">
        <v>4887</v>
      </c>
      <c r="B67" s="228" t="s">
        <v>4888</v>
      </c>
      <c r="C67" s="222" t="s">
        <v>4889</v>
      </c>
      <c r="D67" s="222" t="s">
        <v>4890</v>
      </c>
      <c r="E67" s="222" t="s">
        <v>4891</v>
      </c>
      <c r="F67" s="222" t="s">
        <v>4892</v>
      </c>
    </row>
    <row r="68" spans="1:6" ht="15" thickBot="1"/>
    <row r="69" spans="1:6" ht="18" thickBot="1">
      <c r="A69" s="384" t="s">
        <v>4821</v>
      </c>
      <c r="B69" s="385"/>
      <c r="C69" s="390" t="s">
        <v>4321</v>
      </c>
      <c r="D69" s="391"/>
      <c r="E69" s="391"/>
      <c r="F69" s="392"/>
    </row>
    <row r="70" spans="1:6" ht="17.399999999999999">
      <c r="A70" s="386"/>
      <c r="B70" s="387"/>
      <c r="C70" s="200" t="s">
        <v>4822</v>
      </c>
      <c r="D70" s="201" t="s">
        <v>4809</v>
      </c>
      <c r="E70" s="202" t="s">
        <v>4810</v>
      </c>
      <c r="F70" s="203" t="s">
        <v>4811</v>
      </c>
    </row>
    <row r="71" spans="1:6" ht="18" thickBot="1">
      <c r="A71" s="388"/>
      <c r="B71" s="389"/>
      <c r="C71" s="205">
        <v>1</v>
      </c>
      <c r="D71" s="206">
        <v>2</v>
      </c>
      <c r="E71" s="207">
        <v>3</v>
      </c>
      <c r="F71" s="208">
        <v>4</v>
      </c>
    </row>
    <row r="72" spans="1:6" ht="17.399999999999999">
      <c r="A72" s="224"/>
      <c r="B72" s="223"/>
      <c r="C72" s="381" t="s">
        <v>4893</v>
      </c>
      <c r="D72" s="381" t="s">
        <v>4894</v>
      </c>
      <c r="E72" s="381" t="s">
        <v>4895</v>
      </c>
      <c r="F72" s="381" t="s">
        <v>4896</v>
      </c>
    </row>
    <row r="73" spans="1:6" ht="17.399999999999999">
      <c r="A73" s="224"/>
      <c r="B73" s="223"/>
      <c r="C73" s="382"/>
      <c r="D73" s="382"/>
      <c r="E73" s="382"/>
      <c r="F73" s="382"/>
    </row>
    <row r="74" spans="1:6" ht="17.399999999999999">
      <c r="A74" s="224"/>
      <c r="B74" s="225" t="s">
        <v>4357</v>
      </c>
      <c r="C74" s="382"/>
      <c r="D74" s="382"/>
      <c r="E74" s="382"/>
      <c r="F74" s="382"/>
    </row>
    <row r="75" spans="1:6" ht="17.399999999999999">
      <c r="A75" s="224"/>
      <c r="B75" s="229"/>
      <c r="C75" s="382"/>
      <c r="D75" s="382"/>
      <c r="E75" s="382"/>
      <c r="F75" s="382"/>
    </row>
    <row r="76" spans="1:6" ht="17.399999999999999">
      <c r="A76" s="224"/>
      <c r="B76" s="229"/>
      <c r="C76" s="382"/>
      <c r="D76" s="382"/>
      <c r="E76" s="382"/>
      <c r="F76" s="382"/>
    </row>
    <row r="77" spans="1:6" ht="17.399999999999999">
      <c r="A77" s="224"/>
      <c r="B77" s="229"/>
      <c r="C77" s="382"/>
      <c r="D77" s="382"/>
      <c r="E77" s="382"/>
      <c r="F77" s="382"/>
    </row>
    <row r="78" spans="1:6" ht="18" thickBot="1">
      <c r="A78" s="224"/>
      <c r="B78" s="230"/>
      <c r="C78" s="383"/>
      <c r="D78" s="383"/>
      <c r="E78" s="383"/>
      <c r="F78" s="383"/>
    </row>
    <row r="79" spans="1:6" ht="70.2" thickBot="1">
      <c r="A79" s="215">
        <v>-6</v>
      </c>
      <c r="B79" s="228" t="s">
        <v>4897</v>
      </c>
      <c r="C79" s="222" t="s">
        <v>4898</v>
      </c>
      <c r="D79" s="222" t="s">
        <v>4899</v>
      </c>
      <c r="E79" s="222" t="s">
        <v>4900</v>
      </c>
      <c r="F79" s="222" t="s">
        <v>4901</v>
      </c>
    </row>
    <row r="80" spans="1:6" ht="34.799999999999997">
      <c r="A80" s="215" t="s">
        <v>4902</v>
      </c>
      <c r="B80" s="225" t="s">
        <v>4903</v>
      </c>
      <c r="C80" s="231"/>
      <c r="D80" s="231"/>
      <c r="E80" s="231"/>
      <c r="F80" s="231"/>
    </row>
    <row r="81" spans="1:6" ht="35.4" thickBot="1">
      <c r="A81" s="215" t="s">
        <v>4904</v>
      </c>
      <c r="B81" s="228" t="s">
        <v>4905</v>
      </c>
      <c r="C81" s="232" t="s">
        <v>4906</v>
      </c>
      <c r="D81" s="222" t="s">
        <v>4907</v>
      </c>
      <c r="E81" s="222" t="s">
        <v>4908</v>
      </c>
      <c r="F81" s="222" t="s">
        <v>4909</v>
      </c>
    </row>
    <row r="82" spans="1:6" ht="52.8" thickBot="1">
      <c r="A82" s="219"/>
      <c r="B82" s="228" t="s">
        <v>4910</v>
      </c>
      <c r="C82" s="222" t="s">
        <v>4911</v>
      </c>
      <c r="D82" s="222" t="s">
        <v>4912</v>
      </c>
      <c r="E82" s="222" t="s">
        <v>4913</v>
      </c>
      <c r="F82" s="222" t="s">
        <v>4914</v>
      </c>
    </row>
    <row r="83" spans="1:6" ht="15" thickBot="1"/>
    <row r="84" spans="1:6" ht="18" thickBot="1">
      <c r="A84" s="384" t="s">
        <v>4821</v>
      </c>
      <c r="B84" s="385"/>
      <c r="C84" s="390" t="s">
        <v>4321</v>
      </c>
      <c r="D84" s="391"/>
      <c r="E84" s="391"/>
      <c r="F84" s="392"/>
    </row>
    <row r="85" spans="1:6" ht="17.399999999999999">
      <c r="A85" s="386"/>
      <c r="B85" s="387"/>
      <c r="C85" s="200" t="s">
        <v>4822</v>
      </c>
      <c r="D85" s="201" t="s">
        <v>4809</v>
      </c>
      <c r="E85" s="202" t="s">
        <v>4810</v>
      </c>
      <c r="F85" s="203" t="s">
        <v>4811</v>
      </c>
    </row>
    <row r="86" spans="1:6" ht="18" thickBot="1">
      <c r="A86" s="388"/>
      <c r="B86" s="389"/>
      <c r="C86" s="205">
        <v>1</v>
      </c>
      <c r="D86" s="206">
        <v>2</v>
      </c>
      <c r="E86" s="207">
        <v>3</v>
      </c>
      <c r="F86" s="208">
        <v>4</v>
      </c>
    </row>
    <row r="87" spans="1:6" ht="17.399999999999999">
      <c r="A87" s="224"/>
      <c r="B87" s="223"/>
      <c r="C87" s="218"/>
      <c r="D87" s="378" t="s">
        <v>4915</v>
      </c>
      <c r="E87" s="378" t="s">
        <v>4916</v>
      </c>
      <c r="F87" s="378" t="s">
        <v>4917</v>
      </c>
    </row>
    <row r="88" spans="1:6" ht="34.799999999999997">
      <c r="A88" s="224"/>
      <c r="B88" s="225" t="s">
        <v>4918</v>
      </c>
      <c r="C88" s="218" t="s">
        <v>4889</v>
      </c>
      <c r="D88" s="379"/>
      <c r="E88" s="379"/>
      <c r="F88" s="379"/>
    </row>
    <row r="89" spans="1:6" ht="17.399999999999999">
      <c r="A89" s="224"/>
      <c r="B89" s="229"/>
      <c r="C89" s="233"/>
      <c r="D89" s="379"/>
      <c r="E89" s="379"/>
      <c r="F89" s="379"/>
    </row>
    <row r="90" spans="1:6" ht="17.399999999999999">
      <c r="A90" s="215">
        <v>-7</v>
      </c>
      <c r="B90" s="229"/>
      <c r="C90" s="233"/>
      <c r="D90" s="379"/>
      <c r="E90" s="379"/>
      <c r="F90" s="379"/>
    </row>
    <row r="91" spans="1:6" ht="18" thickBot="1">
      <c r="A91" s="215" t="s">
        <v>4919</v>
      </c>
      <c r="B91" s="230"/>
      <c r="C91" s="234"/>
      <c r="D91" s="380"/>
      <c r="E91" s="380"/>
      <c r="F91" s="380"/>
    </row>
    <row r="92" spans="1:6" ht="17.399999999999999">
      <c r="A92" s="215" t="s">
        <v>4920</v>
      </c>
      <c r="B92" s="223"/>
      <c r="C92" s="381" t="s">
        <v>4921</v>
      </c>
      <c r="D92" s="381" t="s">
        <v>4922</v>
      </c>
      <c r="E92" s="381" t="s">
        <v>4923</v>
      </c>
      <c r="F92" s="381" t="s">
        <v>4924</v>
      </c>
    </row>
    <row r="93" spans="1:6" ht="17.399999999999999">
      <c r="A93" s="216"/>
      <c r="B93" s="223"/>
      <c r="C93" s="382"/>
      <c r="D93" s="382"/>
      <c r="E93" s="382"/>
      <c r="F93" s="382"/>
    </row>
    <row r="94" spans="1:6" ht="17.399999999999999">
      <c r="A94" s="216"/>
      <c r="B94" s="225" t="s">
        <v>4925</v>
      </c>
      <c r="C94" s="382"/>
      <c r="D94" s="382"/>
      <c r="E94" s="382"/>
      <c r="F94" s="382"/>
    </row>
    <row r="95" spans="1:6" ht="18" thickBot="1">
      <c r="A95" s="219"/>
      <c r="B95" s="228" t="s">
        <v>4926</v>
      </c>
      <c r="C95" s="383"/>
      <c r="D95" s="383"/>
      <c r="E95" s="383"/>
      <c r="F95" s="383"/>
    </row>
  </sheetData>
  <mergeCells count="68">
    <mergeCell ref="A14:B16"/>
    <mergeCell ref="C14:F14"/>
    <mergeCell ref="A2:E2"/>
    <mergeCell ref="B3:E3"/>
    <mergeCell ref="F4:F5"/>
    <mergeCell ref="A6:A7"/>
    <mergeCell ref="A13:F13"/>
    <mergeCell ref="C17:C18"/>
    <mergeCell ref="D17:D18"/>
    <mergeCell ref="E17:E18"/>
    <mergeCell ref="F17:F18"/>
    <mergeCell ref="C19:C20"/>
    <mergeCell ref="D19:D20"/>
    <mergeCell ref="E19:E20"/>
    <mergeCell ref="F19:F20"/>
    <mergeCell ref="C21:C22"/>
    <mergeCell ref="D21:D22"/>
    <mergeCell ref="E21:E22"/>
    <mergeCell ref="F21:F22"/>
    <mergeCell ref="C23:C24"/>
    <mergeCell ref="D23:D24"/>
    <mergeCell ref="E23:E24"/>
    <mergeCell ref="F23:F24"/>
    <mergeCell ref="A31:B33"/>
    <mergeCell ref="C31:F31"/>
    <mergeCell ref="B34:B35"/>
    <mergeCell ref="C34:C35"/>
    <mergeCell ref="D34:D35"/>
    <mergeCell ref="E34:E35"/>
    <mergeCell ref="F34:F35"/>
    <mergeCell ref="A38:B40"/>
    <mergeCell ref="C38:F38"/>
    <mergeCell ref="C41:C46"/>
    <mergeCell ref="D41:D46"/>
    <mergeCell ref="E41:E46"/>
    <mergeCell ref="F41:F46"/>
    <mergeCell ref="C47:C50"/>
    <mergeCell ref="D47:D50"/>
    <mergeCell ref="E47:E50"/>
    <mergeCell ref="F47:F50"/>
    <mergeCell ref="A52:B54"/>
    <mergeCell ref="C52:F52"/>
    <mergeCell ref="A69:B71"/>
    <mergeCell ref="C69:F69"/>
    <mergeCell ref="C55:C59"/>
    <mergeCell ref="D55:D59"/>
    <mergeCell ref="E55:E59"/>
    <mergeCell ref="F55:F59"/>
    <mergeCell ref="A61:B63"/>
    <mergeCell ref="C61:F61"/>
    <mergeCell ref="B64:B66"/>
    <mergeCell ref="C64:C66"/>
    <mergeCell ref="D64:D66"/>
    <mergeCell ref="E64:E66"/>
    <mergeCell ref="F64:F66"/>
    <mergeCell ref="C72:C78"/>
    <mergeCell ref="D72:D78"/>
    <mergeCell ref="E72:E78"/>
    <mergeCell ref="F72:F78"/>
    <mergeCell ref="A84:B86"/>
    <mergeCell ref="C84:F84"/>
    <mergeCell ref="D87:D91"/>
    <mergeCell ref="E87:E91"/>
    <mergeCell ref="F87:F91"/>
    <mergeCell ref="C92:C95"/>
    <mergeCell ref="D92:D95"/>
    <mergeCell ref="E92:E95"/>
    <mergeCell ref="F92:F9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L26"/>
  <sheetViews>
    <sheetView showGridLines="0" zoomScale="102" zoomScaleNormal="100" workbookViewId="0">
      <selection activeCell="J2" sqref="J2"/>
    </sheetView>
  </sheetViews>
  <sheetFormatPr defaultRowHeight="14.4"/>
  <cols>
    <col min="1" max="1" width="15.6640625" customWidth="1"/>
    <col min="2" max="2" width="45.6640625" style="162" customWidth="1"/>
    <col min="3" max="10" width="5.6640625" customWidth="1"/>
    <col min="11" max="11" width="8.5546875" customWidth="1"/>
  </cols>
  <sheetData>
    <row r="1" spans="1:12" ht="50.4" customHeight="1" thickBot="1">
      <c r="A1" s="286" t="s">
        <v>5013</v>
      </c>
      <c r="B1" s="286" t="s">
        <v>5012</v>
      </c>
      <c r="C1" s="292" t="s">
        <v>4618</v>
      </c>
      <c r="D1" s="185" t="s">
        <v>4619</v>
      </c>
      <c r="E1" s="185" t="s">
        <v>4620</v>
      </c>
      <c r="F1" s="185" t="s">
        <v>4621</v>
      </c>
      <c r="G1" s="185" t="s">
        <v>4622</v>
      </c>
      <c r="H1" s="185" t="s">
        <v>4623</v>
      </c>
      <c r="I1" s="185" t="s">
        <v>4624</v>
      </c>
      <c r="J1" s="185" t="s">
        <v>4625</v>
      </c>
      <c r="K1" s="185" t="s">
        <v>5015</v>
      </c>
      <c r="L1" s="301" t="s">
        <v>5014</v>
      </c>
    </row>
    <row r="2" spans="1:12" s="248" customFormat="1" ht="72.599999999999994" customHeight="1" thickBot="1">
      <c r="A2" s="282" t="s">
        <v>4755</v>
      </c>
      <c r="B2" s="243" t="s">
        <v>4645</v>
      </c>
      <c r="C2" s="183">
        <v>1</v>
      </c>
      <c r="D2" s="182">
        <v>1</v>
      </c>
      <c r="E2" s="183">
        <v>1</v>
      </c>
      <c r="F2" s="182">
        <v>1</v>
      </c>
      <c r="G2" s="183">
        <v>1</v>
      </c>
      <c r="H2" s="182">
        <v>1</v>
      </c>
      <c r="I2" s="183">
        <v>2</v>
      </c>
      <c r="J2" s="182">
        <v>2</v>
      </c>
      <c r="K2" s="181">
        <v>39</v>
      </c>
      <c r="L2" s="302">
        <v>2</v>
      </c>
    </row>
    <row r="3" spans="1:12" s="248" customFormat="1" ht="69" customHeight="1" thickBot="1">
      <c r="A3" s="282" t="s">
        <v>4781</v>
      </c>
      <c r="B3" s="243" t="s">
        <v>4645</v>
      </c>
      <c r="C3" s="191">
        <v>1</v>
      </c>
      <c r="D3" s="196">
        <v>1</v>
      </c>
      <c r="E3" s="191">
        <v>1</v>
      </c>
      <c r="F3" s="196">
        <v>1</v>
      </c>
      <c r="G3" s="191">
        <v>1</v>
      </c>
      <c r="H3" s="196">
        <v>1</v>
      </c>
      <c r="I3" s="191">
        <v>2</v>
      </c>
      <c r="J3" s="196">
        <v>2</v>
      </c>
      <c r="K3" s="192">
        <v>39</v>
      </c>
      <c r="L3" s="303">
        <v>3</v>
      </c>
    </row>
    <row r="4" spans="1:12" s="248" customFormat="1" ht="72.599999999999994" customHeight="1" thickBot="1">
      <c r="A4" s="282" t="s">
        <v>4758</v>
      </c>
      <c r="B4" s="243" t="s">
        <v>4645</v>
      </c>
      <c r="C4" s="183">
        <v>1</v>
      </c>
      <c r="D4" s="182">
        <v>1</v>
      </c>
      <c r="E4" s="183">
        <v>1</v>
      </c>
      <c r="F4" s="182">
        <v>1</v>
      </c>
      <c r="G4" s="183">
        <v>1</v>
      </c>
      <c r="H4" s="182">
        <v>1</v>
      </c>
      <c r="I4" s="183">
        <v>2</v>
      </c>
      <c r="J4" s="182">
        <v>2</v>
      </c>
      <c r="K4" s="181">
        <v>39</v>
      </c>
      <c r="L4" s="303">
        <v>3</v>
      </c>
    </row>
    <row r="5" spans="1:12" s="248" customFormat="1" ht="53.4" customHeight="1" thickBot="1">
      <c r="A5" s="282" t="s">
        <v>4759</v>
      </c>
      <c r="B5" s="243" t="s">
        <v>4645</v>
      </c>
      <c r="C5" s="183">
        <v>1</v>
      </c>
      <c r="D5" s="182">
        <v>1</v>
      </c>
      <c r="E5" s="183">
        <v>1</v>
      </c>
      <c r="F5" s="182">
        <v>1</v>
      </c>
      <c r="G5" s="183">
        <v>1</v>
      </c>
      <c r="H5" s="182">
        <v>1</v>
      </c>
      <c r="I5" s="183">
        <v>2</v>
      </c>
      <c r="J5" s="182">
        <v>2</v>
      </c>
      <c r="K5" s="192">
        <v>39</v>
      </c>
      <c r="L5" s="303">
        <v>3</v>
      </c>
    </row>
    <row r="6" spans="1:12" s="248" customFormat="1" ht="99.6" customHeight="1" thickBot="1">
      <c r="A6" s="282" t="s">
        <v>4782</v>
      </c>
      <c r="B6" s="243" t="s">
        <v>4645</v>
      </c>
      <c r="C6" s="183">
        <v>1</v>
      </c>
      <c r="D6" s="182">
        <v>1</v>
      </c>
      <c r="E6" s="183">
        <v>1</v>
      </c>
      <c r="F6" s="182">
        <v>1</v>
      </c>
      <c r="G6" s="183">
        <v>1</v>
      </c>
      <c r="H6" s="182">
        <v>1</v>
      </c>
      <c r="I6" s="183">
        <v>2</v>
      </c>
      <c r="J6" s="182">
        <v>2</v>
      </c>
      <c r="K6" s="181">
        <v>39</v>
      </c>
      <c r="L6" s="303">
        <v>3</v>
      </c>
    </row>
    <row r="7" spans="1:12" s="248" customFormat="1" ht="62.4" customHeight="1" thickBot="1">
      <c r="A7" s="282" t="s">
        <v>4783</v>
      </c>
      <c r="B7" s="243" t="s">
        <v>4645</v>
      </c>
      <c r="C7" s="183">
        <v>1</v>
      </c>
      <c r="D7" s="182">
        <v>1</v>
      </c>
      <c r="E7" s="183">
        <v>1</v>
      </c>
      <c r="F7" s="182">
        <v>1</v>
      </c>
      <c r="G7" s="183">
        <v>1</v>
      </c>
      <c r="H7" s="182">
        <v>1</v>
      </c>
      <c r="I7" s="183">
        <v>2</v>
      </c>
      <c r="J7" s="182">
        <v>2</v>
      </c>
      <c r="K7" s="192">
        <v>39</v>
      </c>
      <c r="L7" s="303">
        <v>3</v>
      </c>
    </row>
    <row r="8" spans="1:12" s="248" customFormat="1" ht="57" customHeight="1" thickBot="1">
      <c r="A8" s="282" t="s">
        <v>4762</v>
      </c>
      <c r="B8" s="243" t="s">
        <v>4645</v>
      </c>
      <c r="C8" s="183">
        <v>1</v>
      </c>
      <c r="D8" s="182">
        <v>1</v>
      </c>
      <c r="E8" s="183">
        <v>1</v>
      </c>
      <c r="F8" s="182">
        <v>1</v>
      </c>
      <c r="G8" s="183">
        <v>1</v>
      </c>
      <c r="H8" s="182">
        <v>1</v>
      </c>
      <c r="I8" s="183">
        <v>2</v>
      </c>
      <c r="J8" s="182">
        <v>2</v>
      </c>
      <c r="K8" s="181">
        <v>39</v>
      </c>
      <c r="L8" s="303">
        <v>3</v>
      </c>
    </row>
    <row r="9" spans="1:12" s="248" customFormat="1" ht="61.2" customHeight="1" thickBot="1">
      <c r="A9" s="282" t="s">
        <v>4784</v>
      </c>
      <c r="B9" s="243" t="s">
        <v>4645</v>
      </c>
      <c r="C9" s="183">
        <v>1</v>
      </c>
      <c r="D9" s="182">
        <v>1</v>
      </c>
      <c r="E9" s="183">
        <v>1</v>
      </c>
      <c r="F9" s="182">
        <v>1</v>
      </c>
      <c r="G9" s="183">
        <v>1</v>
      </c>
      <c r="H9" s="182">
        <v>1</v>
      </c>
      <c r="I9" s="183">
        <v>1</v>
      </c>
      <c r="J9" s="182">
        <v>1</v>
      </c>
      <c r="K9" s="192">
        <v>36</v>
      </c>
      <c r="L9" s="303">
        <v>3</v>
      </c>
    </row>
    <row r="10" spans="1:12" s="248" customFormat="1" ht="64.8" customHeight="1" thickBot="1">
      <c r="A10" s="282" t="s">
        <v>4785</v>
      </c>
      <c r="B10" s="243" t="s">
        <v>4645</v>
      </c>
      <c r="C10" s="183">
        <v>1</v>
      </c>
      <c r="D10" s="182">
        <v>1</v>
      </c>
      <c r="E10" s="183">
        <v>1</v>
      </c>
      <c r="F10" s="182">
        <v>1</v>
      </c>
      <c r="G10" s="183">
        <v>1</v>
      </c>
      <c r="H10" s="182">
        <v>1</v>
      </c>
      <c r="I10" s="183">
        <v>2</v>
      </c>
      <c r="J10" s="182">
        <v>2</v>
      </c>
      <c r="K10" s="192">
        <v>39</v>
      </c>
      <c r="L10" s="302">
        <v>3</v>
      </c>
    </row>
    <row r="11" spans="1:12" s="248" customFormat="1" ht="59.4" customHeight="1" thickBot="1">
      <c r="A11" s="281" t="s">
        <v>4786</v>
      </c>
      <c r="B11" s="243" t="s">
        <v>4645</v>
      </c>
      <c r="C11" s="183">
        <v>1</v>
      </c>
      <c r="D11" s="182">
        <v>1</v>
      </c>
      <c r="E11" s="183">
        <v>1</v>
      </c>
      <c r="F11" s="182">
        <v>1</v>
      </c>
      <c r="G11" s="183">
        <v>1</v>
      </c>
      <c r="H11" s="182">
        <v>1</v>
      </c>
      <c r="I11" s="183">
        <v>2</v>
      </c>
      <c r="J11" s="182">
        <v>2</v>
      </c>
      <c r="K11" s="192">
        <v>39</v>
      </c>
      <c r="L11" s="304">
        <v>3</v>
      </c>
    </row>
    <row r="12" spans="1:12" s="248" customFormat="1" ht="55.8" customHeight="1" thickBot="1">
      <c r="A12" s="281" t="s">
        <v>4787</v>
      </c>
      <c r="B12" s="243" t="s">
        <v>4645</v>
      </c>
      <c r="C12" s="183">
        <v>1</v>
      </c>
      <c r="D12" s="182">
        <v>1</v>
      </c>
      <c r="E12" s="183">
        <v>1</v>
      </c>
      <c r="F12" s="182">
        <v>1</v>
      </c>
      <c r="G12" s="183">
        <v>1</v>
      </c>
      <c r="H12" s="182">
        <v>1</v>
      </c>
      <c r="I12" s="183">
        <v>2</v>
      </c>
      <c r="J12" s="182">
        <v>2</v>
      </c>
      <c r="K12" s="192">
        <v>39</v>
      </c>
      <c r="L12" s="304">
        <v>3</v>
      </c>
    </row>
    <row r="13" spans="1:12" s="248" customFormat="1" ht="60" customHeight="1" thickBot="1">
      <c r="A13" s="281" t="s">
        <v>4788</v>
      </c>
      <c r="B13" s="243" t="s">
        <v>4645</v>
      </c>
      <c r="C13" s="183">
        <v>1</v>
      </c>
      <c r="D13" s="182">
        <v>1</v>
      </c>
      <c r="E13" s="183">
        <v>1</v>
      </c>
      <c r="F13" s="182">
        <v>1</v>
      </c>
      <c r="G13" s="183">
        <v>1</v>
      </c>
      <c r="H13" s="182">
        <v>1</v>
      </c>
      <c r="I13" s="183">
        <v>2</v>
      </c>
      <c r="J13" s="182">
        <v>2</v>
      </c>
      <c r="K13" s="192">
        <v>39</v>
      </c>
      <c r="L13" s="304">
        <v>3</v>
      </c>
    </row>
    <row r="14" spans="1:12" s="248" customFormat="1" ht="26.4" customHeight="1" thickBot="1">
      <c r="A14" s="281" t="s">
        <v>4789</v>
      </c>
      <c r="B14" s="243" t="s">
        <v>4645</v>
      </c>
      <c r="C14" s="183">
        <v>1</v>
      </c>
      <c r="D14" s="182">
        <v>1</v>
      </c>
      <c r="E14" s="183">
        <v>1</v>
      </c>
      <c r="F14" s="182">
        <v>1</v>
      </c>
      <c r="G14" s="183">
        <v>2</v>
      </c>
      <c r="H14" s="182">
        <v>2</v>
      </c>
      <c r="I14" s="183">
        <v>2</v>
      </c>
      <c r="J14" s="182">
        <v>2</v>
      </c>
      <c r="K14" s="192">
        <v>46</v>
      </c>
      <c r="L14" s="304">
        <v>2</v>
      </c>
    </row>
    <row r="15" spans="1:12" s="248" customFormat="1" ht="19.95" customHeight="1" thickBot="1">
      <c r="A15" s="281" t="s">
        <v>4790</v>
      </c>
      <c r="B15" s="243" t="s">
        <v>4645</v>
      </c>
      <c r="C15" s="183">
        <v>1</v>
      </c>
      <c r="D15" s="182">
        <v>1</v>
      </c>
      <c r="E15" s="183">
        <v>1</v>
      </c>
      <c r="F15" s="182">
        <v>1</v>
      </c>
      <c r="G15" s="183">
        <v>1</v>
      </c>
      <c r="H15" s="182">
        <v>1</v>
      </c>
      <c r="I15" s="183">
        <v>2</v>
      </c>
      <c r="J15" s="182">
        <v>2</v>
      </c>
      <c r="K15" s="192">
        <v>39</v>
      </c>
      <c r="L15" s="304">
        <v>3</v>
      </c>
    </row>
    <row r="16" spans="1:12" s="248" customFormat="1" ht="19.95" customHeight="1" thickBot="1">
      <c r="A16" s="281" t="s">
        <v>4791</v>
      </c>
      <c r="B16" s="243" t="s">
        <v>4645</v>
      </c>
      <c r="C16" s="183">
        <v>1</v>
      </c>
      <c r="D16" s="182">
        <v>1</v>
      </c>
      <c r="E16" s="183">
        <v>1</v>
      </c>
      <c r="F16" s="182">
        <v>1</v>
      </c>
      <c r="G16" s="183">
        <v>1</v>
      </c>
      <c r="H16" s="182">
        <v>1</v>
      </c>
      <c r="I16" s="183">
        <v>2</v>
      </c>
      <c r="J16" s="182">
        <v>2</v>
      </c>
      <c r="K16" s="192">
        <v>39</v>
      </c>
      <c r="L16" s="304">
        <v>3</v>
      </c>
    </row>
    <row r="17" spans="1:12" s="248" customFormat="1" ht="67.2" customHeight="1" thickBot="1">
      <c r="A17" s="281" t="s">
        <v>4792</v>
      </c>
      <c r="B17" s="243" t="s">
        <v>4645</v>
      </c>
      <c r="C17" s="183">
        <v>1</v>
      </c>
      <c r="D17" s="182">
        <v>1</v>
      </c>
      <c r="E17" s="183">
        <v>1</v>
      </c>
      <c r="F17" s="182">
        <v>1</v>
      </c>
      <c r="G17" s="183">
        <v>1</v>
      </c>
      <c r="H17" s="182">
        <v>1</v>
      </c>
      <c r="I17" s="183">
        <v>2</v>
      </c>
      <c r="J17" s="182">
        <v>2</v>
      </c>
      <c r="K17" s="192">
        <v>39</v>
      </c>
      <c r="L17" s="304">
        <v>3</v>
      </c>
    </row>
    <row r="18" spans="1:12" s="248" customFormat="1" ht="84.6" customHeight="1" thickBot="1">
      <c r="A18" s="281" t="s">
        <v>4793</v>
      </c>
      <c r="B18" s="243" t="s">
        <v>4645</v>
      </c>
      <c r="C18" s="183">
        <v>1</v>
      </c>
      <c r="D18" s="182">
        <v>1</v>
      </c>
      <c r="E18" s="183">
        <v>1</v>
      </c>
      <c r="F18" s="182">
        <v>1</v>
      </c>
      <c r="G18" s="183">
        <v>1</v>
      </c>
      <c r="H18" s="182">
        <v>1</v>
      </c>
      <c r="I18" s="183">
        <v>2</v>
      </c>
      <c r="J18" s="182">
        <v>2</v>
      </c>
      <c r="K18" s="192">
        <v>39</v>
      </c>
      <c r="L18" s="304">
        <v>3</v>
      </c>
    </row>
    <row r="19" spans="1:12" s="248" customFormat="1" ht="63" customHeight="1" thickBot="1">
      <c r="A19" s="281" t="s">
        <v>4794</v>
      </c>
      <c r="B19" s="243" t="s">
        <v>4645</v>
      </c>
      <c r="C19" s="183">
        <v>1</v>
      </c>
      <c r="D19" s="182">
        <v>1</v>
      </c>
      <c r="E19" s="183">
        <v>1</v>
      </c>
      <c r="F19" s="182">
        <v>1</v>
      </c>
      <c r="G19" s="183">
        <v>1</v>
      </c>
      <c r="H19" s="182">
        <v>1</v>
      </c>
      <c r="I19" s="183">
        <v>2</v>
      </c>
      <c r="J19" s="182">
        <v>2</v>
      </c>
      <c r="K19" s="192">
        <v>39</v>
      </c>
      <c r="L19" s="304">
        <v>3</v>
      </c>
    </row>
    <row r="20" spans="1:12" s="248" customFormat="1" ht="72.599999999999994" customHeight="1" thickBot="1">
      <c r="A20" s="281" t="s">
        <v>4795</v>
      </c>
      <c r="B20" s="243" t="s">
        <v>4645</v>
      </c>
      <c r="C20" s="183">
        <v>1</v>
      </c>
      <c r="D20" s="182">
        <v>1</v>
      </c>
      <c r="E20" s="183">
        <v>1</v>
      </c>
      <c r="F20" s="182">
        <v>1</v>
      </c>
      <c r="G20" s="183">
        <v>1</v>
      </c>
      <c r="H20" s="182">
        <v>1</v>
      </c>
      <c r="I20" s="183">
        <v>2</v>
      </c>
      <c r="J20" s="182">
        <v>2</v>
      </c>
      <c r="K20" s="192">
        <v>39</v>
      </c>
      <c r="L20" s="304">
        <v>3</v>
      </c>
    </row>
    <row r="21" spans="1:12" s="248" customFormat="1" ht="64.2" customHeight="1" thickBot="1">
      <c r="A21" s="281" t="s">
        <v>4796</v>
      </c>
      <c r="B21" s="243" t="s">
        <v>4645</v>
      </c>
      <c r="C21" s="183">
        <v>1</v>
      </c>
      <c r="D21" s="182">
        <v>1</v>
      </c>
      <c r="E21" s="183">
        <v>1</v>
      </c>
      <c r="F21" s="182">
        <v>1</v>
      </c>
      <c r="G21" s="183">
        <v>1</v>
      </c>
      <c r="H21" s="182">
        <v>1</v>
      </c>
      <c r="I21" s="183">
        <v>2</v>
      </c>
      <c r="J21" s="182">
        <v>2</v>
      </c>
      <c r="K21" s="192">
        <v>39</v>
      </c>
      <c r="L21" s="304">
        <v>3</v>
      </c>
    </row>
    <row r="22" spans="1:12" s="248" customFormat="1" ht="55.2" customHeight="1" thickBot="1">
      <c r="A22" s="281" t="s">
        <v>4797</v>
      </c>
      <c r="B22" s="243" t="s">
        <v>4645</v>
      </c>
      <c r="C22" s="183">
        <v>1</v>
      </c>
      <c r="D22" s="182">
        <v>1</v>
      </c>
      <c r="E22" s="183">
        <v>1</v>
      </c>
      <c r="F22" s="182">
        <v>1</v>
      </c>
      <c r="G22" s="183">
        <v>1</v>
      </c>
      <c r="H22" s="182">
        <v>1</v>
      </c>
      <c r="I22" s="183">
        <v>2</v>
      </c>
      <c r="J22" s="182">
        <v>2</v>
      </c>
      <c r="K22" s="192">
        <v>39</v>
      </c>
      <c r="L22" s="304">
        <v>3</v>
      </c>
    </row>
    <row r="23" spans="1:12" s="248" customFormat="1" ht="69.599999999999994" customHeight="1" thickBot="1">
      <c r="A23" s="281" t="s">
        <v>4763</v>
      </c>
      <c r="B23" s="243" t="s">
        <v>4645</v>
      </c>
      <c r="C23" s="183">
        <v>1</v>
      </c>
      <c r="D23" s="182">
        <v>1</v>
      </c>
      <c r="E23" s="183">
        <v>1</v>
      </c>
      <c r="F23" s="182">
        <v>1</v>
      </c>
      <c r="G23" s="183">
        <v>1</v>
      </c>
      <c r="H23" s="182">
        <v>1</v>
      </c>
      <c r="I23" s="183">
        <v>1</v>
      </c>
      <c r="J23" s="182">
        <v>1</v>
      </c>
      <c r="K23" s="192">
        <v>36</v>
      </c>
      <c r="L23" s="304">
        <v>3</v>
      </c>
    </row>
    <row r="24" spans="1:12" s="248" customFormat="1" ht="70.2" customHeight="1" thickBot="1">
      <c r="A24" s="281" t="s">
        <v>4797</v>
      </c>
      <c r="B24" s="243" t="s">
        <v>4645</v>
      </c>
      <c r="C24" s="183">
        <v>1</v>
      </c>
      <c r="D24" s="182">
        <v>1</v>
      </c>
      <c r="E24" s="183">
        <v>1</v>
      </c>
      <c r="F24" s="182">
        <v>1</v>
      </c>
      <c r="G24" s="183">
        <v>1</v>
      </c>
      <c r="H24" s="182">
        <v>1</v>
      </c>
      <c r="I24" s="183">
        <v>2</v>
      </c>
      <c r="J24" s="182">
        <v>2</v>
      </c>
      <c r="K24" s="192">
        <v>39</v>
      </c>
      <c r="L24" s="304">
        <v>3</v>
      </c>
    </row>
    <row r="25" spans="1:12" s="248" customFormat="1" ht="55.8" customHeight="1" thickBot="1">
      <c r="A25" s="281" t="s">
        <v>4798</v>
      </c>
      <c r="B25" s="243" t="s">
        <v>4645</v>
      </c>
      <c r="C25" s="295">
        <v>1</v>
      </c>
      <c r="D25" s="296">
        <v>1</v>
      </c>
      <c r="E25" s="295">
        <v>1</v>
      </c>
      <c r="F25" s="296">
        <v>1</v>
      </c>
      <c r="G25" s="295">
        <v>1</v>
      </c>
      <c r="H25" s="296">
        <v>1</v>
      </c>
      <c r="I25" s="295">
        <v>2</v>
      </c>
      <c r="J25" s="296">
        <v>2</v>
      </c>
      <c r="K25" s="297">
        <v>39</v>
      </c>
      <c r="L25" s="305">
        <v>3</v>
      </c>
    </row>
    <row r="26" spans="1:12" s="248" customFormat="1" ht="72.599999999999994" customHeight="1" thickBot="1">
      <c r="A26" s="293" t="s">
        <v>4799</v>
      </c>
      <c r="B26" s="294" t="s">
        <v>4645</v>
      </c>
      <c r="C26" s="298">
        <v>1</v>
      </c>
      <c r="D26" s="299">
        <v>1</v>
      </c>
      <c r="E26" s="298">
        <v>1</v>
      </c>
      <c r="F26" s="299">
        <v>1</v>
      </c>
      <c r="G26" s="298">
        <v>1</v>
      </c>
      <c r="H26" s="299">
        <v>1</v>
      </c>
      <c r="I26" s="298">
        <v>2</v>
      </c>
      <c r="J26" s="299">
        <v>2</v>
      </c>
      <c r="K26" s="300">
        <v>39</v>
      </c>
      <c r="L26" s="306">
        <v>2</v>
      </c>
    </row>
  </sheetData>
  <phoneticPr fontId="68" type="noConversion"/>
  <conditionalFormatting sqref="C2:J26">
    <cfRule type="cellIs" dxfId="76" priority="1" stopIfTrue="1" operator="equal">
      <formula>0</formula>
    </cfRule>
    <cfRule type="containsText" dxfId="75" priority="2" operator="containsText" text="4">
      <formula>NOT(ISERROR(SEARCH("4",C2)))</formula>
    </cfRule>
    <cfRule type="containsText" dxfId="74" priority="3" operator="containsText" text="3">
      <formula>NOT(ISERROR(SEARCH("3",C2)))</formula>
    </cfRule>
    <cfRule type="containsText" dxfId="73" priority="4" operator="containsText" text="2">
      <formula>NOT(ISERROR(SEARCH("2",C2)))</formula>
    </cfRule>
    <cfRule type="containsText" dxfId="72" priority="5" operator="containsText" text="1">
      <formula>NOT(ISERROR(SEARCH("1",C2)))</formula>
    </cfRule>
  </conditionalFormatting>
  <pageMargins left="0.7" right="0.7" top="0.75" bottom="0.75" header="0.3" footer="0.3"/>
  <pageSetup paperSize="9" orientation="landscape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39997558519241921"/>
  </sheetPr>
  <dimension ref="A1:D33"/>
  <sheetViews>
    <sheetView showGridLines="0" zoomScaleNormal="100" workbookViewId="0">
      <selection activeCell="H11" sqref="H11"/>
    </sheetView>
  </sheetViews>
  <sheetFormatPr defaultColWidth="8.6640625" defaultRowHeight="15.6"/>
  <cols>
    <col min="1" max="1" width="24.6640625" style="154" customWidth="1"/>
    <col min="2" max="2" width="32.6640625" style="154" customWidth="1"/>
    <col min="3" max="4" width="15.6640625" style="154" customWidth="1"/>
    <col min="5" max="16384" width="8.6640625" style="154"/>
  </cols>
  <sheetData>
    <row r="1" spans="1:4" s="261" customFormat="1" ht="24">
      <c r="A1" s="408" t="s">
        <v>4576</v>
      </c>
      <c r="B1" s="408"/>
      <c r="C1" s="408"/>
      <c r="D1" s="408"/>
    </row>
    <row r="2" spans="1:4" s="261" customFormat="1"/>
    <row r="3" spans="1:4" s="261" customFormat="1" ht="16.2">
      <c r="A3" s="262" t="s">
        <v>4577</v>
      </c>
      <c r="B3" s="263" t="s">
        <v>4578</v>
      </c>
      <c r="C3" s="155" t="s">
        <v>4579</v>
      </c>
      <c r="D3" s="266" t="s">
        <v>4967</v>
      </c>
    </row>
    <row r="4" spans="1:4" s="261" customFormat="1" ht="16.2">
      <c r="A4" s="262" t="s">
        <v>4580</v>
      </c>
      <c r="B4" s="264" t="s">
        <v>4581</v>
      </c>
      <c r="C4" s="155" t="s">
        <v>4582</v>
      </c>
      <c r="D4" s="156">
        <v>4</v>
      </c>
    </row>
    <row r="5" spans="1:4" s="261" customFormat="1" ht="16.2">
      <c r="A5" s="262" t="s">
        <v>4583</v>
      </c>
      <c r="B5" s="264" t="s">
        <v>4527</v>
      </c>
      <c r="C5" s="155"/>
      <c r="D5" s="265"/>
    </row>
    <row r="6" spans="1:4" s="261" customFormat="1" ht="16.2">
      <c r="A6" s="262" t="s">
        <v>4584</v>
      </c>
      <c r="B6" s="264" t="s">
        <v>1346</v>
      </c>
      <c r="C6" s="155"/>
      <c r="D6" s="265"/>
    </row>
    <row r="7" spans="1:4" s="261" customFormat="1"/>
    <row r="8" spans="1:4" ht="32.4">
      <c r="A8" s="157" t="s">
        <v>4752</v>
      </c>
      <c r="B8" s="158" t="s">
        <v>4753</v>
      </c>
      <c r="C8" s="157" t="s">
        <v>4754</v>
      </c>
      <c r="D8" s="157" t="s">
        <v>4585</v>
      </c>
    </row>
    <row r="9" spans="1:4">
      <c r="A9" s="255">
        <v>43899</v>
      </c>
      <c r="B9" s="256" t="s">
        <v>4755</v>
      </c>
      <c r="C9" s="257">
        <v>2</v>
      </c>
      <c r="D9" s="258" t="s">
        <v>4588</v>
      </c>
    </row>
    <row r="10" spans="1:4" ht="46.8">
      <c r="A10" s="255">
        <v>43975</v>
      </c>
      <c r="B10" s="256" t="s">
        <v>4756</v>
      </c>
      <c r="C10" s="258">
        <v>3</v>
      </c>
      <c r="D10" s="258" t="s">
        <v>4757</v>
      </c>
    </row>
    <row r="11" spans="1:4" ht="31.2">
      <c r="A11" s="255">
        <v>44004</v>
      </c>
      <c r="B11" s="256" t="s">
        <v>4758</v>
      </c>
      <c r="C11" s="258">
        <v>3</v>
      </c>
      <c r="D11" s="258" t="s">
        <v>4757</v>
      </c>
    </row>
    <row r="12" spans="1:4" ht="31.2">
      <c r="A12" s="255">
        <v>44009</v>
      </c>
      <c r="B12" s="256" t="s">
        <v>4759</v>
      </c>
      <c r="C12" s="258">
        <v>3</v>
      </c>
      <c r="D12" s="258" t="s">
        <v>4757</v>
      </c>
    </row>
    <row r="13" spans="1:4" ht="31.2">
      <c r="A13" s="255">
        <v>44056</v>
      </c>
      <c r="B13" s="256" t="s">
        <v>4760</v>
      </c>
      <c r="C13" s="258">
        <v>3</v>
      </c>
      <c r="D13" s="258" t="s">
        <v>4757</v>
      </c>
    </row>
    <row r="14" spans="1:4" ht="31.2">
      <c r="A14" s="255">
        <v>44075</v>
      </c>
      <c r="B14" s="256" t="s">
        <v>4761</v>
      </c>
      <c r="C14" s="258">
        <v>3</v>
      </c>
      <c r="D14" s="258" t="s">
        <v>4757</v>
      </c>
    </row>
    <row r="15" spans="1:4" ht="31.2">
      <c r="A15" s="255">
        <v>44161</v>
      </c>
      <c r="B15" s="256" t="s">
        <v>4762</v>
      </c>
      <c r="C15" s="258">
        <v>3</v>
      </c>
      <c r="D15" s="258" t="s">
        <v>4757</v>
      </c>
    </row>
    <row r="16" spans="1:4" ht="31.2">
      <c r="A16" s="255">
        <v>44252</v>
      </c>
      <c r="B16" s="256" t="s">
        <v>4763</v>
      </c>
      <c r="C16" s="258">
        <v>3</v>
      </c>
      <c r="D16" s="258" t="s">
        <v>4757</v>
      </c>
    </row>
    <row r="17" spans="1:4" ht="31.2">
      <c r="A17" s="255">
        <v>44246</v>
      </c>
      <c r="B17" s="259" t="s">
        <v>4764</v>
      </c>
      <c r="C17" s="257">
        <v>3</v>
      </c>
      <c r="D17" s="258" t="s">
        <v>4757</v>
      </c>
    </row>
    <row r="18" spans="1:4" ht="46.8">
      <c r="A18" s="255">
        <v>44299</v>
      </c>
      <c r="B18" s="260" t="s">
        <v>4765</v>
      </c>
      <c r="C18" s="161">
        <v>3</v>
      </c>
      <c r="D18" s="160" t="s">
        <v>4757</v>
      </c>
    </row>
    <row r="19" spans="1:4" ht="31.2">
      <c r="A19" s="255">
        <v>44300</v>
      </c>
      <c r="B19" s="254" t="s">
        <v>4766</v>
      </c>
      <c r="C19" s="161">
        <v>3</v>
      </c>
      <c r="D19" s="160" t="s">
        <v>4757</v>
      </c>
    </row>
    <row r="20" spans="1:4">
      <c r="A20" s="255">
        <v>44300</v>
      </c>
      <c r="B20" s="254" t="s">
        <v>4767</v>
      </c>
      <c r="C20" s="161">
        <v>3</v>
      </c>
      <c r="D20" s="160" t="s">
        <v>4757</v>
      </c>
    </row>
    <row r="21" spans="1:4">
      <c r="A21" s="255">
        <v>44306</v>
      </c>
      <c r="B21" s="260" t="s">
        <v>4768</v>
      </c>
      <c r="C21" s="161">
        <v>2</v>
      </c>
      <c r="D21" s="160" t="s">
        <v>4588</v>
      </c>
    </row>
    <row r="22" spans="1:4">
      <c r="A22" s="255">
        <v>44315</v>
      </c>
      <c r="B22" s="254" t="s">
        <v>4769</v>
      </c>
      <c r="C22" s="161">
        <v>3</v>
      </c>
      <c r="D22" s="160" t="s">
        <v>4757</v>
      </c>
    </row>
    <row r="23" spans="1:4">
      <c r="A23" s="255">
        <v>44322</v>
      </c>
      <c r="B23" s="254" t="s">
        <v>4770</v>
      </c>
      <c r="C23" s="161">
        <v>3</v>
      </c>
      <c r="D23" s="160" t="s">
        <v>4757</v>
      </c>
    </row>
    <row r="24" spans="1:4" ht="31.2">
      <c r="A24" s="255">
        <v>44326</v>
      </c>
      <c r="B24" s="254" t="s">
        <v>4771</v>
      </c>
      <c r="C24" s="161">
        <v>3</v>
      </c>
      <c r="D24" s="160" t="s">
        <v>4757</v>
      </c>
    </row>
    <row r="25" spans="1:4" ht="31.2">
      <c r="A25" s="255">
        <v>44332</v>
      </c>
      <c r="B25" s="254" t="s">
        <v>4772</v>
      </c>
      <c r="C25" s="161">
        <v>3</v>
      </c>
      <c r="D25" s="160" t="s">
        <v>4757</v>
      </c>
    </row>
    <row r="26" spans="1:4" ht="46.8">
      <c r="A26" s="255">
        <v>44344</v>
      </c>
      <c r="B26" s="260" t="s">
        <v>4773</v>
      </c>
      <c r="C26" s="161">
        <v>3</v>
      </c>
      <c r="D26" s="160" t="s">
        <v>4757</v>
      </c>
    </row>
    <row r="27" spans="1:4" ht="46.8">
      <c r="A27" s="255">
        <v>44386</v>
      </c>
      <c r="B27" s="254" t="s">
        <v>4774</v>
      </c>
      <c r="C27" s="161">
        <v>3</v>
      </c>
      <c r="D27" s="160" t="s">
        <v>4757</v>
      </c>
    </row>
    <row r="28" spans="1:4" ht="31.2">
      <c r="A28" s="255">
        <v>44392</v>
      </c>
      <c r="B28" s="254" t="s">
        <v>4775</v>
      </c>
      <c r="C28" s="161">
        <v>3</v>
      </c>
      <c r="D28" s="160" t="s">
        <v>4757</v>
      </c>
    </row>
    <row r="29" spans="1:4" ht="31.2">
      <c r="A29" s="255">
        <v>44427</v>
      </c>
      <c r="B29" s="254" t="s">
        <v>4776</v>
      </c>
      <c r="C29" s="161">
        <v>3</v>
      </c>
      <c r="D29" s="160" t="s">
        <v>4757</v>
      </c>
    </row>
    <row r="30" spans="1:4" ht="31.2">
      <c r="A30" s="255">
        <v>44461</v>
      </c>
      <c r="B30" s="254" t="s">
        <v>4777</v>
      </c>
      <c r="C30" s="161">
        <v>3</v>
      </c>
      <c r="D30" s="160" t="s">
        <v>4757</v>
      </c>
    </row>
    <row r="31" spans="1:4" ht="31.2">
      <c r="A31" s="255">
        <v>44490</v>
      </c>
      <c r="B31" s="254" t="s">
        <v>4778</v>
      </c>
      <c r="C31" s="161">
        <v>3</v>
      </c>
      <c r="D31" s="160" t="s">
        <v>4757</v>
      </c>
    </row>
    <row r="32" spans="1:4" ht="31.2">
      <c r="A32" s="255">
        <v>44509</v>
      </c>
      <c r="B32" s="254" t="s">
        <v>4779</v>
      </c>
      <c r="C32" s="161">
        <v>3</v>
      </c>
      <c r="D32" s="160" t="s">
        <v>4757</v>
      </c>
    </row>
    <row r="33" spans="1:4" ht="31.2">
      <c r="A33" s="255">
        <v>44527</v>
      </c>
      <c r="B33" s="254" t="s">
        <v>4780</v>
      </c>
      <c r="C33" s="161">
        <v>2</v>
      </c>
      <c r="D33" s="160" t="s">
        <v>4588</v>
      </c>
    </row>
  </sheetData>
  <mergeCells count="1">
    <mergeCell ref="A1:D1"/>
  </mergeCells>
  <conditionalFormatting sqref="D9:D33">
    <cfRule type="cellIs" dxfId="71" priority="1" operator="equal">
      <formula>"สำคัญ"</formula>
    </cfRule>
  </conditionalFormatting>
  <dataValidations count="3">
    <dataValidation type="list" allowBlank="1" showInputMessage="1" showErrorMessage="1" sqref="B4" xr:uid="{00000000-0002-0000-0A00-000000000000}">
      <formula1>"ประเมินแบบพื้นที่,ประเมินหน่วยงาน"</formula1>
    </dataValidation>
    <dataValidation type="list" allowBlank="1" showInputMessage="1" showErrorMessage="1" sqref="D9:D33" xr:uid="{00000000-0002-0000-0A00-000001000000}">
      <formula1>"สำคัญ,ไม่สำคัญ"</formula1>
    </dataValidation>
    <dataValidation type="list" allowBlank="1" showInputMessage="1" showErrorMessage="1" sqref="D5:D6 B5:B6" xr:uid="{00000000-0002-0000-0A00-000002000000}"/>
  </dataValidation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W15"/>
  <sheetViews>
    <sheetView showGridLines="0" topLeftCell="A2" zoomScale="93" zoomScaleNormal="93" workbookViewId="0">
      <selection activeCell="G10" sqref="G10"/>
    </sheetView>
  </sheetViews>
  <sheetFormatPr defaultColWidth="8.6640625" defaultRowHeight="19.8"/>
  <cols>
    <col min="1" max="1" width="4.6640625" style="22" customWidth="1"/>
    <col min="2" max="6" width="20.6640625" style="22" customWidth="1"/>
    <col min="7" max="7" width="30.6640625" style="22" customWidth="1"/>
    <col min="8" max="10" width="5.6640625" style="22" customWidth="1"/>
    <col min="11" max="11" width="6.6640625" style="22" hidden="1" customWidth="1"/>
    <col min="12" max="14" width="6.6640625" style="22" customWidth="1"/>
    <col min="15" max="15" width="30.6640625" style="22" customWidth="1"/>
    <col min="16" max="18" width="10.6640625" style="22" customWidth="1"/>
    <col min="19" max="21" width="5.6640625" style="22" customWidth="1"/>
    <col min="22" max="22" width="5.33203125" style="22" hidden="1" customWidth="1"/>
    <col min="23" max="16384" width="8.6640625" style="22"/>
  </cols>
  <sheetData>
    <row r="1" spans="1:23" ht="28.8">
      <c r="A1" s="409" t="s">
        <v>4978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</row>
    <row r="2" spans="1:23" ht="11.1" customHeight="1"/>
    <row r="3" spans="1:23" ht="20.399999999999999">
      <c r="A3" s="410" t="s">
        <v>4577</v>
      </c>
      <c r="B3" s="410"/>
      <c r="C3" s="411" t="e">
        <f>#REF!</f>
        <v>#REF!</v>
      </c>
      <c r="D3" s="411"/>
      <c r="E3" s="19" t="s">
        <v>4583</v>
      </c>
      <c r="F3" s="412" t="e">
        <f>#REF!</f>
        <v>#REF!</v>
      </c>
      <c r="G3" s="412"/>
      <c r="H3" s="132" t="s">
        <v>4579</v>
      </c>
      <c r="I3" s="21"/>
      <c r="J3" s="413" t="e">
        <f>#REF!</f>
        <v>#REF!</v>
      </c>
      <c r="K3" s="413"/>
      <c r="L3" s="413"/>
      <c r="M3" s="413"/>
      <c r="N3" s="131"/>
    </row>
    <row r="4" spans="1:23" ht="20.399999999999999">
      <c r="A4" s="410" t="s">
        <v>4580</v>
      </c>
      <c r="B4" s="410"/>
      <c r="C4" s="411" t="e">
        <f>#REF!</f>
        <v>#REF!</v>
      </c>
      <c r="D4" s="411"/>
      <c r="E4" s="19" t="s">
        <v>4584</v>
      </c>
      <c r="F4" s="414" t="e">
        <f>#REF!</f>
        <v>#REF!</v>
      </c>
      <c r="G4" s="414"/>
      <c r="H4" s="132" t="s">
        <v>4582</v>
      </c>
      <c r="I4" s="21"/>
      <c r="J4" s="415" t="e">
        <f>#REF!</f>
        <v>#REF!</v>
      </c>
      <c r="K4" s="415"/>
      <c r="L4" s="415"/>
      <c r="M4" s="415"/>
      <c r="N4" s="131"/>
    </row>
    <row r="6" spans="1:23" s="21" customFormat="1" ht="20.100000000000001" customHeight="1">
      <c r="A6" s="373" t="s">
        <v>4695</v>
      </c>
      <c r="B6" s="416" t="s">
        <v>4724</v>
      </c>
      <c r="C6" s="417"/>
      <c r="D6" s="375" t="s">
        <v>4698</v>
      </c>
      <c r="E6" s="375" t="s">
        <v>4699</v>
      </c>
      <c r="F6" s="375" t="s">
        <v>4700</v>
      </c>
      <c r="G6" s="375" t="s">
        <v>4701</v>
      </c>
      <c r="H6" s="365" t="s">
        <v>4702</v>
      </c>
      <c r="I6" s="366"/>
      <c r="J6" s="366"/>
      <c r="K6" s="366"/>
      <c r="L6" s="366"/>
      <c r="M6" s="366"/>
      <c r="N6" s="367"/>
      <c r="O6" s="420" t="s">
        <v>4703</v>
      </c>
      <c r="P6" s="370" t="s">
        <v>4704</v>
      </c>
      <c r="Q6" s="370"/>
      <c r="R6" s="370" t="s">
        <v>4705</v>
      </c>
      <c r="S6" s="371" t="s">
        <v>4706</v>
      </c>
      <c r="T6" s="371"/>
      <c r="U6" s="371"/>
      <c r="V6" s="371"/>
      <c r="W6" s="267"/>
    </row>
    <row r="7" spans="1:23" s="21" customFormat="1" ht="29.7" customHeight="1">
      <c r="A7" s="373"/>
      <c r="B7" s="418"/>
      <c r="C7" s="419"/>
      <c r="D7" s="375"/>
      <c r="E7" s="375"/>
      <c r="F7" s="375"/>
      <c r="G7" s="375"/>
      <c r="H7" s="130" t="s">
        <v>4707</v>
      </c>
      <c r="I7" s="130" t="s">
        <v>4708</v>
      </c>
      <c r="J7" s="130" t="s">
        <v>4709</v>
      </c>
      <c r="K7" s="130" t="s">
        <v>4709</v>
      </c>
      <c r="L7" s="130" t="s">
        <v>4710</v>
      </c>
      <c r="M7" s="130" t="s">
        <v>4711</v>
      </c>
      <c r="N7" s="130" t="s">
        <v>4712</v>
      </c>
      <c r="O7" s="421"/>
      <c r="P7" s="250" t="s">
        <v>4713</v>
      </c>
      <c r="Q7" s="250" t="s">
        <v>4714</v>
      </c>
      <c r="R7" s="370"/>
      <c r="S7" s="268" t="s">
        <v>4707</v>
      </c>
      <c r="T7" s="268" t="s">
        <v>4708</v>
      </c>
      <c r="U7" s="268" t="s">
        <v>4709</v>
      </c>
      <c r="V7" s="268" t="s">
        <v>4709</v>
      </c>
    </row>
    <row r="8" spans="1:23" s="271" customFormat="1" ht="121.8">
      <c r="A8" s="253">
        <v>1</v>
      </c>
      <c r="B8" s="422" t="s">
        <v>4725</v>
      </c>
      <c r="C8" s="423"/>
      <c r="D8" s="134" t="s">
        <v>4544</v>
      </c>
      <c r="E8" s="138" t="s">
        <v>4715</v>
      </c>
      <c r="F8" s="138" t="s">
        <v>4726</v>
      </c>
      <c r="G8" s="137" t="s">
        <v>4995</v>
      </c>
      <c r="H8" s="253">
        <v>4</v>
      </c>
      <c r="I8" s="253">
        <v>1</v>
      </c>
      <c r="J8" s="253" t="str">
        <f>K8</f>
        <v>E4</v>
      </c>
      <c r="K8" s="253" t="str">
        <f>IF(AND(I8=1,H8=1),"L16",IF(AND(I8=1,H8=2),"L14",IF(AND(I8=1,H8=3),"M11",IF(AND(I8=1,H8=4),"E4",IF(AND(I8=2,H8=1),"L15",IF(AND(I8=2,H8=2),"M12",IF(AND(I8=2,H8=3),"H7",IF(AND(I8=2,H8=4),"E3",IF(AND(I8=3,H8=1),"M13",IF(AND(I8=3,H8=2),"H9",IF(AND(I8=3,H8=3),"E6",IF(AND(I8=4,H8=4),"E2",IF(AND(I8=4,H8=1),"H10",IF(AND(H8=2,I8=4),"H8",IF(AND(I8=4,H8=3),"E5",IF(AND(I8=4,H8=4),"E1",FALSE))))))))))))))))</f>
        <v>E4</v>
      </c>
      <c r="L8" s="253" t="s">
        <v>5011</v>
      </c>
      <c r="M8" s="253" t="s">
        <v>4687</v>
      </c>
      <c r="N8" s="270">
        <v>1</v>
      </c>
      <c r="O8" s="135" t="s">
        <v>4727</v>
      </c>
      <c r="P8" s="253" t="s">
        <v>4935</v>
      </c>
      <c r="Q8" s="253" t="s">
        <v>4936</v>
      </c>
      <c r="R8" s="253" t="s">
        <v>4937</v>
      </c>
      <c r="S8" s="253">
        <v>3</v>
      </c>
      <c r="T8" s="253">
        <v>1</v>
      </c>
      <c r="U8" s="274" t="str">
        <f>V8</f>
        <v>M11</v>
      </c>
      <c r="V8" s="253" t="str">
        <f t="shared" ref="V8:V15" si="0">IF(AND(T8=1,S8=1),"L16",IF(AND(T8=1,S8=2),"L14",IF(AND(T8=1,S8=3),"M11",IF(AND(T8=1,S8=4),"E4",IF(AND(T8=2,S8=1),"L15",IF(AND(T8=2,S8=2),"M12",IF(AND(T8=2,S8=3),"H7",IF(AND(T8=2,S8=4),"E3",IF(AND(T8=3,S8=1),"M13",IF(AND(T8=3,S8=2),"H9",IF(AND(T8=3,S8=3),"E6",IF(AND(T8=4,S8=4),"E2",IF(AND(T8=4,S8=1),"H10",IF(AND(T8=2,S8=4),"H8",IF(AND(T8=4,S8=3),"E5",IF(AND(T8=4,S8=4),"E1",FALSE))))))))))))))))</f>
        <v>M11</v>
      </c>
    </row>
    <row r="9" spans="1:23" s="271" customFormat="1" ht="139.19999999999999">
      <c r="A9" s="253">
        <v>2</v>
      </c>
      <c r="B9" s="425" t="s">
        <v>4728</v>
      </c>
      <c r="C9" s="426"/>
      <c r="D9" s="134" t="s">
        <v>4544</v>
      </c>
      <c r="E9" s="138" t="s">
        <v>4715</v>
      </c>
      <c r="F9" s="138" t="s">
        <v>4994</v>
      </c>
      <c r="G9" s="137" t="s">
        <v>4993</v>
      </c>
      <c r="H9" s="253">
        <v>4</v>
      </c>
      <c r="I9" s="253">
        <v>1</v>
      </c>
      <c r="J9" s="253" t="str">
        <f t="shared" ref="J9:J15" si="1">K9</f>
        <v>E4</v>
      </c>
      <c r="K9" s="253" t="str">
        <f t="shared" ref="K9:K14" si="2">IF(AND(I9=1,H9=1),"L16",IF(AND(I9=1,H9=2),"L14",IF(AND(I9=1,H9=3),"M11",IF(AND(I9=1,H9=4),"E4",IF(AND(I9=2,H9=1),"L15",IF(AND(I9=2,H9=2),"M12",IF(AND(I9=2,H9=3),"H7",IF(AND(I9=2,H9=4),"E3",IF(AND(I9=3,H9=1),"M13",IF(AND(I9=3,H9=2),"H9",IF(AND(I9=3,H9=3),"E6",IF(AND(I9=4,H9=4),"E2",IF(AND(I9=4,H9=1),"H10",IF(AND(H9=2,I9=4),"H8",IF(AND(I9=4,H9=3),"E5",IF(AND(I9=4,H9=4),"E1",FALSE))))))))))))))))</f>
        <v>E4</v>
      </c>
      <c r="L9" s="253" t="s">
        <v>4687</v>
      </c>
      <c r="M9" s="253" t="s">
        <v>4687</v>
      </c>
      <c r="N9" s="270">
        <v>1</v>
      </c>
      <c r="O9" s="137" t="s">
        <v>4996</v>
      </c>
      <c r="P9" s="253" t="s">
        <v>4935</v>
      </c>
      <c r="Q9" s="253" t="s">
        <v>4936</v>
      </c>
      <c r="R9" s="253" t="s">
        <v>4931</v>
      </c>
      <c r="S9" s="253">
        <v>3</v>
      </c>
      <c r="T9" s="253">
        <v>1</v>
      </c>
      <c r="U9" s="274" t="str">
        <f t="shared" ref="U9:U15" si="3">V9</f>
        <v>M11</v>
      </c>
      <c r="V9" s="275" t="str">
        <f t="shared" si="0"/>
        <v>M11</v>
      </c>
    </row>
    <row r="10" spans="1:23" s="271" customFormat="1" ht="363.6" customHeight="1">
      <c r="A10" s="253">
        <v>3</v>
      </c>
      <c r="B10" s="422" t="s">
        <v>4729</v>
      </c>
      <c r="C10" s="426"/>
      <c r="D10" s="134" t="s">
        <v>4544</v>
      </c>
      <c r="E10" s="142" t="s">
        <v>4564</v>
      </c>
      <c r="F10" s="137" t="s">
        <v>4730</v>
      </c>
      <c r="G10" s="138" t="s">
        <v>4731</v>
      </c>
      <c r="H10" s="253">
        <v>4</v>
      </c>
      <c r="I10" s="253">
        <v>1</v>
      </c>
      <c r="J10" s="253" t="str">
        <f t="shared" si="1"/>
        <v>E4</v>
      </c>
      <c r="K10" s="253" t="str">
        <f t="shared" si="2"/>
        <v>E4</v>
      </c>
      <c r="L10" s="253" t="s">
        <v>4687</v>
      </c>
      <c r="M10" s="253" t="s">
        <v>4687</v>
      </c>
      <c r="N10" s="270">
        <v>1</v>
      </c>
      <c r="O10" s="276" t="s">
        <v>4997</v>
      </c>
      <c r="P10" s="253" t="s">
        <v>4935</v>
      </c>
      <c r="Q10" s="253" t="s">
        <v>4936</v>
      </c>
      <c r="R10" s="253" t="s">
        <v>4929</v>
      </c>
      <c r="S10" s="253">
        <v>3</v>
      </c>
      <c r="T10" s="253">
        <v>1</v>
      </c>
      <c r="U10" s="274" t="str">
        <f t="shared" si="3"/>
        <v>M11</v>
      </c>
      <c r="V10" s="275" t="str">
        <f t="shared" si="0"/>
        <v>M11</v>
      </c>
    </row>
    <row r="11" spans="1:23" s="271" customFormat="1" ht="203.7" customHeight="1">
      <c r="A11" s="253">
        <v>4</v>
      </c>
      <c r="B11" s="427" t="s">
        <v>4732</v>
      </c>
      <c r="C11" s="428"/>
      <c r="D11" s="134" t="s">
        <v>4544</v>
      </c>
      <c r="E11" s="138" t="s">
        <v>4715</v>
      </c>
      <c r="F11" s="138" t="s">
        <v>4733</v>
      </c>
      <c r="G11" s="137" t="s">
        <v>4734</v>
      </c>
      <c r="H11" s="253">
        <v>4</v>
      </c>
      <c r="I11" s="253">
        <v>1</v>
      </c>
      <c r="J11" s="253" t="str">
        <f t="shared" si="1"/>
        <v>E4</v>
      </c>
      <c r="K11" s="253" t="str">
        <f t="shared" si="2"/>
        <v>E4</v>
      </c>
      <c r="L11" s="253" t="s">
        <v>4690</v>
      </c>
      <c r="M11" s="253" t="s">
        <v>4690</v>
      </c>
      <c r="N11" s="270">
        <v>1</v>
      </c>
      <c r="O11" s="173" t="s">
        <v>4934</v>
      </c>
      <c r="P11" s="253" t="s">
        <v>4935</v>
      </c>
      <c r="Q11" s="253" t="s">
        <v>4936</v>
      </c>
      <c r="R11" s="253" t="s">
        <v>4930</v>
      </c>
      <c r="S11" s="253">
        <v>3</v>
      </c>
      <c r="T11" s="253">
        <v>1</v>
      </c>
      <c r="U11" s="274" t="str">
        <f t="shared" si="3"/>
        <v>M11</v>
      </c>
      <c r="V11" s="275" t="str">
        <f t="shared" si="0"/>
        <v>M11</v>
      </c>
    </row>
    <row r="12" spans="1:23" s="271" customFormat="1" ht="208.8">
      <c r="A12" s="253">
        <v>5</v>
      </c>
      <c r="B12" s="422" t="s">
        <v>4735</v>
      </c>
      <c r="C12" s="423"/>
      <c r="D12" s="134" t="s">
        <v>4544</v>
      </c>
      <c r="E12" s="138" t="s">
        <v>4715</v>
      </c>
      <c r="F12" s="135" t="s">
        <v>4736</v>
      </c>
      <c r="G12" s="174" t="s">
        <v>4737</v>
      </c>
      <c r="H12" s="253">
        <v>4</v>
      </c>
      <c r="I12" s="253">
        <v>1</v>
      </c>
      <c r="J12" s="253" t="str">
        <f t="shared" si="1"/>
        <v>E4</v>
      </c>
      <c r="K12" s="253" t="str">
        <f t="shared" si="2"/>
        <v>E4</v>
      </c>
      <c r="L12" s="253" t="s">
        <v>4738</v>
      </c>
      <c r="M12" s="253" t="s">
        <v>4739</v>
      </c>
      <c r="N12" s="270">
        <v>1</v>
      </c>
      <c r="O12" s="237" t="s">
        <v>4998</v>
      </c>
      <c r="P12" s="253" t="s">
        <v>4935</v>
      </c>
      <c r="Q12" s="253" t="s">
        <v>4936</v>
      </c>
      <c r="R12" s="253" t="s">
        <v>4930</v>
      </c>
      <c r="S12" s="253">
        <v>3</v>
      </c>
      <c r="T12" s="253">
        <v>1</v>
      </c>
      <c r="U12" s="274" t="str">
        <f t="shared" si="3"/>
        <v>M11</v>
      </c>
      <c r="V12" s="275" t="str">
        <f t="shared" si="0"/>
        <v>M11</v>
      </c>
    </row>
    <row r="13" spans="1:23" s="271" customFormat="1" ht="156.6">
      <c r="A13" s="253">
        <v>6</v>
      </c>
      <c r="B13" s="422" t="s">
        <v>4740</v>
      </c>
      <c r="C13" s="423"/>
      <c r="D13" s="134" t="s">
        <v>4544</v>
      </c>
      <c r="E13" s="138" t="s">
        <v>4715</v>
      </c>
      <c r="F13" s="137" t="s">
        <v>4741</v>
      </c>
      <c r="G13" s="172" t="s">
        <v>4742</v>
      </c>
      <c r="H13" s="253">
        <v>4</v>
      </c>
      <c r="I13" s="253">
        <v>1</v>
      </c>
      <c r="J13" s="253" t="str">
        <f t="shared" si="1"/>
        <v>E4</v>
      </c>
      <c r="K13" s="253" t="str">
        <f>IF(AND(I13=1,H13=1),"L16",IF(AND(I13=1,H13=2),"L14",IF(AND(I13=1,H13=3),"M11",IF(AND(I13=1,H13=4),"E4",IF(AND(I13=2,H13=1),"L15",IF(AND(I13=2,H13=2),"M12",IF(AND(I13=2,H13=3),"H7",IF(AND(I13=2,H13=4),"E3",IF(AND(I13=3,H13=1),"M13",IF(AND(I13=3,H13=2),"H9",IF(AND(I13=3,H13=3),"E6",IF(AND(I13=4,H13=4),"E2",IF(AND(I13=4,H13=1),"H10",IF(AND(H13=2,I13=4),"H8",IF(AND(I13=4,H13=3),"E5",IF(AND(I13=4,H13=4),"E1",FALSE))))))))))))))))</f>
        <v>E4</v>
      </c>
      <c r="L13" s="253" t="s">
        <v>4743</v>
      </c>
      <c r="M13" s="253" t="s">
        <v>4688</v>
      </c>
      <c r="N13" s="270">
        <v>1</v>
      </c>
      <c r="O13" s="173" t="s">
        <v>4999</v>
      </c>
      <c r="P13" s="277" t="s">
        <v>4935</v>
      </c>
      <c r="Q13" s="277" t="s">
        <v>4936</v>
      </c>
      <c r="R13" s="253" t="s">
        <v>4930</v>
      </c>
      <c r="S13" s="253">
        <v>3</v>
      </c>
      <c r="T13" s="253">
        <v>1</v>
      </c>
      <c r="U13" s="274" t="str">
        <f t="shared" si="3"/>
        <v>M11</v>
      </c>
      <c r="V13" s="275" t="str">
        <f t="shared" si="0"/>
        <v>M11</v>
      </c>
    </row>
    <row r="14" spans="1:23" s="271" customFormat="1" ht="139.19999999999999">
      <c r="A14" s="253">
        <v>7</v>
      </c>
      <c r="B14" s="422" t="s">
        <v>4744</v>
      </c>
      <c r="C14" s="423"/>
      <c r="D14" s="134" t="s">
        <v>4544</v>
      </c>
      <c r="E14" s="138" t="s">
        <v>4715</v>
      </c>
      <c r="F14" s="137" t="s">
        <v>4745</v>
      </c>
      <c r="G14" s="137" t="s">
        <v>4746</v>
      </c>
      <c r="H14" s="253">
        <v>4</v>
      </c>
      <c r="I14" s="253">
        <v>1</v>
      </c>
      <c r="J14" s="253" t="str">
        <f t="shared" si="1"/>
        <v>E4</v>
      </c>
      <c r="K14" s="253" t="str">
        <f t="shared" si="2"/>
        <v>E4</v>
      </c>
      <c r="L14" s="253" t="s">
        <v>4743</v>
      </c>
      <c r="M14" s="253" t="s">
        <v>4743</v>
      </c>
      <c r="N14" s="270">
        <v>1</v>
      </c>
      <c r="O14" s="136" t="s">
        <v>4747</v>
      </c>
      <c r="P14" s="253" t="s">
        <v>4935</v>
      </c>
      <c r="Q14" s="253" t="s">
        <v>4936</v>
      </c>
      <c r="R14" s="253" t="s">
        <v>4933</v>
      </c>
      <c r="S14" s="253">
        <v>3</v>
      </c>
      <c r="T14" s="253">
        <v>1</v>
      </c>
      <c r="U14" s="274" t="str">
        <f t="shared" si="3"/>
        <v>M11</v>
      </c>
      <c r="V14" s="275" t="str">
        <f t="shared" si="0"/>
        <v>M11</v>
      </c>
    </row>
    <row r="15" spans="1:23" s="271" customFormat="1" ht="139.19999999999999">
      <c r="A15" s="253">
        <v>8</v>
      </c>
      <c r="B15" s="424" t="s">
        <v>4748</v>
      </c>
      <c r="C15" s="424"/>
      <c r="D15" s="134" t="s">
        <v>4544</v>
      </c>
      <c r="E15" s="138" t="s">
        <v>4715</v>
      </c>
      <c r="F15" s="136" t="s">
        <v>4749</v>
      </c>
      <c r="G15" s="136" t="s">
        <v>4750</v>
      </c>
      <c r="H15" s="253">
        <v>3</v>
      </c>
      <c r="I15" s="253">
        <v>1</v>
      </c>
      <c r="J15" s="253" t="str">
        <f t="shared" si="1"/>
        <v>M11</v>
      </c>
      <c r="K15" s="275" t="str">
        <f>IF(AND(I15=1,H15=1),"L16",IF(AND(I15=1,H15=2),"L14",IF(AND(I15=1,H15=3),"M11",IF(AND(I15=1,H15=4),"E4",IF(AND(I15=2,H15=1),"L15",IF(AND(I15=2,H15=2),"M12",IF(AND(I15=2,H15=3),"H7",IF(AND(I15=2,H15=4),"E3",IF(AND(I15=3,H15=1),"M13",IF(AND(I15=3,H15=2),"H9",IF(AND(I15=3,H15=3),"E6",IF(AND(I15=4,H15=4),"E2",IF(AND(I15=4,H15=1),"H10",IF(AND(H15=2,I15=4),"H8",IF(AND(I15=4,H15=3),"E5",IF(AND(I15=4,H15=4),"E1",FALSE))))))))))))))))</f>
        <v>M11</v>
      </c>
      <c r="L15" s="253" t="s">
        <v>4743</v>
      </c>
      <c r="M15" s="253" t="s">
        <v>4743</v>
      </c>
      <c r="N15" s="270">
        <v>1</v>
      </c>
      <c r="O15" s="136" t="s">
        <v>4751</v>
      </c>
      <c r="P15" s="253" t="s">
        <v>4935</v>
      </c>
      <c r="Q15" s="253" t="s">
        <v>4936</v>
      </c>
      <c r="R15" s="253" t="s">
        <v>4930</v>
      </c>
      <c r="S15" s="253">
        <v>2</v>
      </c>
      <c r="T15" s="253">
        <v>1</v>
      </c>
      <c r="U15" s="274" t="str">
        <f t="shared" si="3"/>
        <v>L14</v>
      </c>
      <c r="V15" s="275" t="str">
        <f t="shared" si="0"/>
        <v>L14</v>
      </c>
    </row>
  </sheetData>
  <mergeCells count="28">
    <mergeCell ref="P6:Q6"/>
    <mergeCell ref="B14:C14"/>
    <mergeCell ref="B15:C15"/>
    <mergeCell ref="A6:A7"/>
    <mergeCell ref="D6:D7"/>
    <mergeCell ref="E6:E7"/>
    <mergeCell ref="B12:C12"/>
    <mergeCell ref="B13:C13"/>
    <mergeCell ref="B8:C8"/>
    <mergeCell ref="B9:C9"/>
    <mergeCell ref="B10:C10"/>
    <mergeCell ref="B11:C11"/>
    <mergeCell ref="R6:R7"/>
    <mergeCell ref="S6:V6"/>
    <mergeCell ref="F6:F7"/>
    <mergeCell ref="A1:V1"/>
    <mergeCell ref="A3:B3"/>
    <mergeCell ref="C3:D3"/>
    <mergeCell ref="F3:G3"/>
    <mergeCell ref="J3:M3"/>
    <mergeCell ref="C4:D4"/>
    <mergeCell ref="F4:G4"/>
    <mergeCell ref="J4:M4"/>
    <mergeCell ref="A4:B4"/>
    <mergeCell ref="B6:C7"/>
    <mergeCell ref="G6:G7"/>
    <mergeCell ref="H6:N6"/>
    <mergeCell ref="O6:O7"/>
  </mergeCells>
  <conditionalFormatting sqref="J8:J15">
    <cfRule type="cellIs" dxfId="70" priority="33" operator="equal">
      <formula>"E5"</formula>
    </cfRule>
    <cfRule type="cellIs" dxfId="69" priority="34" operator="equal">
      <formula>"E1"</formula>
    </cfRule>
    <cfRule type="cellIs" dxfId="68" priority="35" operator="equal">
      <formula>"E6"</formula>
    </cfRule>
    <cfRule type="cellIs" dxfId="67" priority="36" operator="equal">
      <formula>"E2"</formula>
    </cfRule>
    <cfRule type="cellIs" dxfId="66" priority="37" operator="equal">
      <formula>"E3"</formula>
    </cfRule>
    <cfRule type="cellIs" dxfId="65" priority="38" operator="equal">
      <formula>"E4"</formula>
    </cfRule>
    <cfRule type="cellIs" dxfId="64" priority="39" operator="equal">
      <formula>"H8"</formula>
    </cfRule>
    <cfRule type="cellIs" dxfId="63" priority="40" operator="equal">
      <formula>"H10"</formula>
    </cfRule>
    <cfRule type="cellIs" dxfId="62" priority="41" operator="equal">
      <formula>"H9"</formula>
    </cfRule>
    <cfRule type="cellIs" dxfId="61" priority="42" operator="equal">
      <formula>"H17"</formula>
    </cfRule>
    <cfRule type="cellIs" dxfId="60" priority="43" operator="equal">
      <formula>"M13"</formula>
    </cfRule>
    <cfRule type="cellIs" dxfId="59" priority="44" operator="equal">
      <formula>"M12"</formula>
    </cfRule>
    <cfRule type="cellIs" dxfId="58" priority="45" operator="equal">
      <formula>"M11"</formula>
    </cfRule>
    <cfRule type="cellIs" dxfId="57" priority="46" operator="equal">
      <formula>"L14"</formula>
    </cfRule>
    <cfRule type="cellIs" dxfId="56" priority="47" operator="equal">
      <formula>"L15"</formula>
    </cfRule>
    <cfRule type="cellIs" dxfId="55" priority="48" operator="equal">
      <formula>"L16"</formula>
    </cfRule>
  </conditionalFormatting>
  <conditionalFormatting sqref="U8:U15">
    <cfRule type="cellIs" dxfId="54" priority="1" operator="equal">
      <formula>"E5"</formula>
    </cfRule>
    <cfRule type="cellIs" dxfId="53" priority="2" operator="equal">
      <formula>"E1"</formula>
    </cfRule>
    <cfRule type="cellIs" dxfId="52" priority="3" operator="equal">
      <formula>"E6"</formula>
    </cfRule>
    <cfRule type="cellIs" dxfId="51" priority="4" operator="equal">
      <formula>"E2"</formula>
    </cfRule>
    <cfRule type="cellIs" dxfId="50" priority="5" operator="equal">
      <formula>"E3"</formula>
    </cfRule>
    <cfRule type="cellIs" dxfId="49" priority="6" operator="equal">
      <formula>"E4"</formula>
    </cfRule>
    <cfRule type="cellIs" dxfId="48" priority="7" operator="equal">
      <formula>"H8"</formula>
    </cfRule>
    <cfRule type="cellIs" dxfId="47" priority="8" operator="equal">
      <formula>"H10"</formula>
    </cfRule>
    <cfRule type="cellIs" dxfId="46" priority="9" operator="equal">
      <formula>"H9"</formula>
    </cfRule>
    <cfRule type="cellIs" dxfId="45" priority="10" operator="equal">
      <formula>"H7"</formula>
    </cfRule>
    <cfRule type="cellIs" dxfId="44" priority="11" operator="equal">
      <formula>"M13"</formula>
    </cfRule>
    <cfRule type="cellIs" dxfId="43" priority="12" operator="equal">
      <formula>"M12"</formula>
    </cfRule>
    <cfRule type="cellIs" dxfId="42" priority="13" operator="equal">
      <formula>"M11"</formula>
    </cfRule>
    <cfRule type="cellIs" dxfId="41" priority="14" operator="equal">
      <formula>"L14"</formula>
    </cfRule>
    <cfRule type="cellIs" dxfId="40" priority="15" operator="equal">
      <formula>"L15"</formula>
    </cfRule>
    <cfRule type="cellIs" dxfId="39" priority="16" operator="equal">
      <formula>"L16"</formula>
    </cfRule>
  </conditionalFormatting>
  <dataValidations count="1">
    <dataValidation type="list" allowBlank="1" showInputMessage="1" showErrorMessage="1" sqref="D8:D15 H8:I15 E10" xr:uid="{00000000-0002-0000-0900-000000000000}"/>
  </dataValidations>
  <printOptions horizontalCentered="1"/>
  <pageMargins left="0.11811023622047245" right="0" top="0.35433070866141736" bottom="0.15748031496062992" header="0.31496062992125984" footer="0"/>
  <pageSetup paperSize="9" scale="49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2000000}">
          <x14:formula1>
            <xm:f>Data1!$E$78:$E$82</xm:f>
          </x14:formula1>
          <xm:sqref>S8:T15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0.39997558519241921"/>
    <pageSetUpPr fitToPage="1"/>
  </sheetPr>
  <dimension ref="A1:V5"/>
  <sheetViews>
    <sheetView showGridLines="0" topLeftCell="D1" zoomScale="102" zoomScaleNormal="80" workbookViewId="0">
      <pane ySplit="2" topLeftCell="A3" activePane="bottomLeft" state="frozen"/>
      <selection activeCell="F20" sqref="F20"/>
      <selection pane="bottomLeft" activeCell="O3" sqref="O3"/>
    </sheetView>
  </sheetViews>
  <sheetFormatPr defaultColWidth="8.6640625" defaultRowHeight="19.8"/>
  <cols>
    <col min="1" max="1" width="4.6640625" style="22" customWidth="1"/>
    <col min="2" max="6" width="20.6640625" style="22" customWidth="1"/>
    <col min="7" max="7" width="30.6640625" style="22" customWidth="1"/>
    <col min="8" max="10" width="5.6640625" style="22" customWidth="1"/>
    <col min="11" max="11" width="5.6640625" style="22" hidden="1" customWidth="1"/>
    <col min="12" max="14" width="5.6640625" style="22" customWidth="1"/>
    <col min="15" max="15" width="30.6640625" style="22" customWidth="1"/>
    <col min="16" max="18" width="10.6640625" style="22" customWidth="1"/>
    <col min="19" max="21" width="5.6640625" style="22" customWidth="1"/>
    <col min="22" max="22" width="5.6640625" style="22" hidden="1" customWidth="1"/>
    <col min="23" max="16384" width="8.6640625" style="22"/>
  </cols>
  <sheetData>
    <row r="1" spans="1:22" s="21" customFormat="1" ht="18">
      <c r="A1" s="373" t="s">
        <v>4695</v>
      </c>
      <c r="B1" s="374" t="s">
        <v>4696</v>
      </c>
      <c r="C1" s="374" t="s">
        <v>4697</v>
      </c>
      <c r="D1" s="375" t="s">
        <v>4698</v>
      </c>
      <c r="E1" s="375" t="s">
        <v>4699</v>
      </c>
      <c r="F1" s="375" t="s">
        <v>4700</v>
      </c>
      <c r="G1" s="375" t="s">
        <v>4701</v>
      </c>
      <c r="H1" s="365" t="s">
        <v>4702</v>
      </c>
      <c r="I1" s="366"/>
      <c r="J1" s="366"/>
      <c r="K1" s="366"/>
      <c r="L1" s="366"/>
      <c r="M1" s="366"/>
      <c r="N1" s="367"/>
      <c r="O1" s="420" t="s">
        <v>4703</v>
      </c>
      <c r="P1" s="429" t="s">
        <v>4704</v>
      </c>
      <c r="Q1" s="429"/>
      <c r="R1" s="430" t="s">
        <v>4705</v>
      </c>
      <c r="S1" s="371" t="s">
        <v>4706</v>
      </c>
      <c r="T1" s="371"/>
      <c r="U1" s="371"/>
      <c r="V1" s="371"/>
    </row>
    <row r="2" spans="1:22" s="21" customFormat="1" ht="18">
      <c r="A2" s="373"/>
      <c r="B2" s="374"/>
      <c r="C2" s="374"/>
      <c r="D2" s="375"/>
      <c r="E2" s="375"/>
      <c r="F2" s="375"/>
      <c r="G2" s="375"/>
      <c r="H2" s="130" t="s">
        <v>4707</v>
      </c>
      <c r="I2" s="130" t="s">
        <v>4708</v>
      </c>
      <c r="J2" s="130" t="s">
        <v>4709</v>
      </c>
      <c r="K2" s="130" t="s">
        <v>4709</v>
      </c>
      <c r="L2" s="130" t="s">
        <v>4710</v>
      </c>
      <c r="M2" s="130" t="s">
        <v>4711</v>
      </c>
      <c r="N2" s="130" t="s">
        <v>4712</v>
      </c>
      <c r="O2" s="421"/>
      <c r="P2" s="269" t="s">
        <v>4713</v>
      </c>
      <c r="Q2" s="269" t="s">
        <v>4714</v>
      </c>
      <c r="R2" s="430"/>
      <c r="S2" s="268" t="s">
        <v>4707</v>
      </c>
      <c r="T2" s="268" t="s">
        <v>4708</v>
      </c>
      <c r="U2" s="268" t="s">
        <v>4709</v>
      </c>
      <c r="V2" s="268" t="s">
        <v>4709</v>
      </c>
    </row>
    <row r="3" spans="1:22" s="273" customFormat="1" ht="261">
      <c r="A3" s="145">
        <v>1</v>
      </c>
      <c r="B3" s="134" t="s">
        <v>4802</v>
      </c>
      <c r="C3" s="136" t="s">
        <v>4755</v>
      </c>
      <c r="D3" s="134" t="s">
        <v>4544</v>
      </c>
      <c r="E3" s="136" t="s">
        <v>4654</v>
      </c>
      <c r="F3" s="135" t="s">
        <v>4953</v>
      </c>
      <c r="G3" s="135" t="s">
        <v>4803</v>
      </c>
      <c r="H3" s="253">
        <v>2</v>
      </c>
      <c r="I3" s="253">
        <v>2</v>
      </c>
      <c r="J3" s="253" t="str">
        <f>K3</f>
        <v>M12</v>
      </c>
      <c r="K3" s="145" t="str">
        <f>IF(AND(I3=1,H3=1),"L16",IF(AND(I3=1,H3=2),"L14",IF(AND(I3=1,H3=3),"M11",IF(AND(I3=1,H3=4),"E4",IF(AND(I3=2,H3=1),"L15",IF(AND(I3=2,H3=2),"M12",IF(AND(I3=2,H3=3),"H7",IF(AND(I3=2,H3=4),"E3",IF(AND(I3=3,H3=1),"M13",IF(AND(I3=3,H3=2),"H9",IF(AND(I3=3,H3=3),"E6",IF(AND(I3=4,H3=4),"E2",IF(AND(I3=4,H3=1),"H10",IF(AND(H3=2,I3=4),"H8",IF(AND(I3=4,H3=3),"E5",IF(AND(I3=4,H3=4),"E1",FALSE))))))))))))))))</f>
        <v>M12</v>
      </c>
      <c r="L3" s="278" t="str">
        <f>'2.2.2 BIA Plant Incident 2'!N8</f>
        <v>24 ชม</v>
      </c>
      <c r="M3" s="278" t="str">
        <f>'2.2.2 BIA Plant Incident 2'!O8</f>
        <v>1 ชม</v>
      </c>
      <c r="N3" s="279">
        <f>'2.2.2 BIA Plant Incident 2'!P8</f>
        <v>1</v>
      </c>
      <c r="O3" s="136" t="s">
        <v>4804</v>
      </c>
      <c r="P3" s="145" t="s">
        <v>4935</v>
      </c>
      <c r="Q3" s="145" t="s">
        <v>4936</v>
      </c>
      <c r="R3" s="145" t="s">
        <v>5001</v>
      </c>
      <c r="S3" s="280">
        <v>1</v>
      </c>
      <c r="T3" s="280">
        <v>2</v>
      </c>
      <c r="U3" s="280" t="str">
        <f t="shared" ref="U3" si="0">V3</f>
        <v>L15</v>
      </c>
      <c r="V3" s="280" t="str">
        <f t="shared" ref="V3" si="1">IF(AND(T3=1,S3=1),"L16",IF(AND(T3=1,S3=2),"L14",IF(AND(T3=1,S3=3),"M11",IF(AND(T3=1,S3=4),"E4",IF(AND(T3=2,S3=1),"L15",IF(AND(T3=2,S3=2),"M12",IF(AND(T3=2,S3=3),"H7",IF(AND(T3=2,S3=4),"E3",IF(AND(T3=3,S3=1),"M13",IF(AND(T3=3,S3=2),"H9",IF(AND(T3=3,S3=3),"E6",IF(AND(T3=4,S3=4),"E2",IF(AND(T3=4,S3=1),"H10",IF(AND(T3=2,S3=4),"H8",IF(AND(T3=4,S3=3),"E5",IF(AND(T3=4,S3=4),"E1",FALSE))))))))))))))))</f>
        <v>L15</v>
      </c>
    </row>
    <row r="4" spans="1:22" s="273" customFormat="1" ht="208.8">
      <c r="A4" s="145">
        <v>2</v>
      </c>
      <c r="B4" s="134" t="s">
        <v>4802</v>
      </c>
      <c r="C4" s="136" t="s">
        <v>4789</v>
      </c>
      <c r="D4" s="134" t="s">
        <v>4544</v>
      </c>
      <c r="E4" s="136" t="s">
        <v>4654</v>
      </c>
      <c r="F4" s="135" t="s">
        <v>5000</v>
      </c>
      <c r="G4" s="135" t="s">
        <v>4805</v>
      </c>
      <c r="H4" s="145">
        <v>3</v>
      </c>
      <c r="I4" s="145">
        <v>2</v>
      </c>
      <c r="J4" s="145" t="str">
        <f t="shared" ref="J4" si="2">K4</f>
        <v>H7</v>
      </c>
      <c r="K4" s="145" t="str">
        <f t="shared" ref="K4" si="3">IF(AND(I4=1,H4=1),"L16",IF(AND(I4=1,H4=2),"L14",IF(AND(I4=1,H4=3),"M11",IF(AND(I4=1,H4=4),"E4",IF(AND(I4=2,H4=1),"L15",IF(AND(I4=2,H4=2),"M12",IF(AND(I4=2,H4=3),"H7",IF(AND(I4=2,H4=4),"E3",IF(AND(I4=3,H4=1),"M13",IF(AND(I4=3,H4=2),"H9",IF(AND(I4=3,H4=3),"E6",IF(AND(I4=4,H4=4),"E2",IF(AND(I4=4,H4=1),"H10",IF(AND(H4=2,I4=4),"H8",IF(AND(I4=4,H4=3),"E5",IF(AND(I4=4,H4=4),"E1",FALSE))))))))))))))))</f>
        <v>H7</v>
      </c>
      <c r="L4" s="278" t="s">
        <v>4687</v>
      </c>
      <c r="M4" s="278" t="s">
        <v>4806</v>
      </c>
      <c r="N4" s="279">
        <v>1</v>
      </c>
      <c r="O4" s="242" t="s">
        <v>5003</v>
      </c>
      <c r="P4" s="145" t="s">
        <v>4935</v>
      </c>
      <c r="Q4" s="145" t="s">
        <v>4936</v>
      </c>
      <c r="R4" s="145" t="s">
        <v>5001</v>
      </c>
      <c r="S4" s="145">
        <v>2</v>
      </c>
      <c r="T4" s="145">
        <v>2</v>
      </c>
      <c r="U4" s="272" t="str">
        <f t="shared" ref="U4" si="4">V4</f>
        <v>M12</v>
      </c>
      <c r="V4" s="145" t="str">
        <f t="shared" ref="V4" si="5">IF(AND(T4=1,S4=1),"L16",IF(AND(T4=1,S4=2),"L14",IF(AND(T4=1,S4=3),"M11",IF(AND(T4=1,S4=4),"E4",IF(AND(T4=2,S4=1),"L15",IF(AND(T4=2,S4=2),"M12",IF(AND(T4=2,S4=3),"H7",IF(AND(T4=2,S4=4),"E3",IF(AND(T4=3,S4=1),"M13",IF(AND(T4=3,S4=2),"H9",IF(AND(T4=3,S4=3),"E6",IF(AND(T4=4,S4=4),"E2",IF(AND(T4=4,S4=1),"H10",IF(AND(T4=2,S4=4),"H8",IF(AND(T4=4,S4=3),"E5",IF(AND(T4=4,S4=4),"E1",FALSE))))))))))))))))</f>
        <v>M12</v>
      </c>
    </row>
    <row r="5" spans="1:22" s="273" customFormat="1" ht="208.8">
      <c r="A5" s="145">
        <v>3</v>
      </c>
      <c r="B5" s="134" t="s">
        <v>4802</v>
      </c>
      <c r="C5" s="136" t="s">
        <v>4799</v>
      </c>
      <c r="D5" s="134" t="s">
        <v>4544</v>
      </c>
      <c r="E5" s="136" t="s">
        <v>4654</v>
      </c>
      <c r="F5" s="135" t="s">
        <v>5000</v>
      </c>
      <c r="G5" s="135" t="s">
        <v>4805</v>
      </c>
      <c r="H5" s="145">
        <v>2</v>
      </c>
      <c r="I5" s="145">
        <v>2</v>
      </c>
      <c r="J5" s="145" t="str">
        <f t="shared" ref="J5" si="6">K5</f>
        <v>M12</v>
      </c>
      <c r="K5" s="145" t="str">
        <f t="shared" ref="K5" si="7">IF(AND(I5=1,H5=1),"L16",IF(AND(I5=1,H5=2),"L14",IF(AND(I5=1,H5=3),"M11",IF(AND(I5=1,H5=4),"E4",IF(AND(I5=2,H5=1),"L15",IF(AND(I5=2,H5=2),"M12",IF(AND(I5=2,H5=3),"H7",IF(AND(I5=2,H5=4),"E3",IF(AND(I5=3,H5=1),"M13",IF(AND(I5=3,H5=2),"H9",IF(AND(I5=3,H5=3),"E6",IF(AND(I5=4,H5=4),"E2",IF(AND(I5=4,H5=1),"H10",IF(AND(H5=2,I5=4),"H8",IF(AND(I5=4,H5=3),"E5",IF(AND(I5=4,H5=4),"E1",FALSE))))))))))))))))</f>
        <v>M12</v>
      </c>
      <c r="L5" s="278" t="s">
        <v>4687</v>
      </c>
      <c r="M5" s="278" t="s">
        <v>4688</v>
      </c>
      <c r="N5" s="279">
        <v>1</v>
      </c>
      <c r="O5" s="242" t="s">
        <v>5002</v>
      </c>
      <c r="P5" s="145" t="s">
        <v>4935</v>
      </c>
      <c r="Q5" s="145" t="s">
        <v>4936</v>
      </c>
      <c r="R5" s="145" t="s">
        <v>5001</v>
      </c>
      <c r="S5" s="145">
        <v>1</v>
      </c>
      <c r="T5" s="145">
        <v>2</v>
      </c>
      <c r="U5" s="272" t="str">
        <f t="shared" ref="U5" si="8">V5</f>
        <v>L15</v>
      </c>
      <c r="V5" s="145" t="str">
        <f t="shared" ref="V5" si="9">IF(AND(T5=1,S5=1),"L16",IF(AND(T5=1,S5=2),"L14",IF(AND(T5=1,S5=3),"M11",IF(AND(T5=1,S5=4),"E4",IF(AND(T5=2,S5=1),"L15",IF(AND(T5=2,S5=2),"M12",IF(AND(T5=2,S5=3),"H7",IF(AND(T5=2,S5=4),"E3",IF(AND(T5=3,S5=1),"M13",IF(AND(T5=3,S5=2),"H9",IF(AND(T5=3,S5=3),"E6",IF(AND(T5=4,S5=4),"E2",IF(AND(T5=4,S5=1),"H10",IF(AND(T5=2,S5=4),"H8",IF(AND(T5=4,S5=3),"E5",IF(AND(T5=4,S5=4),"E1",FALSE))))))))))))))))</f>
        <v>L15</v>
      </c>
    </row>
  </sheetData>
  <mergeCells count="12">
    <mergeCell ref="S1:V1"/>
    <mergeCell ref="F1:F2"/>
    <mergeCell ref="G1:G2"/>
    <mergeCell ref="H1:N1"/>
    <mergeCell ref="O1:O2"/>
    <mergeCell ref="P1:Q1"/>
    <mergeCell ref="R1:R2"/>
    <mergeCell ref="A1:A2"/>
    <mergeCell ref="B1:B2"/>
    <mergeCell ref="C1:C2"/>
    <mergeCell ref="D1:D2"/>
    <mergeCell ref="E1:E2"/>
  </mergeCells>
  <conditionalFormatting sqref="J3">
    <cfRule type="cellIs" dxfId="38" priority="30" operator="equal">
      <formula>"H8"</formula>
    </cfRule>
    <cfRule type="cellIs" dxfId="37" priority="31" operator="equal">
      <formula>"H10"</formula>
    </cfRule>
    <cfRule type="cellIs" dxfId="36" priority="32" operator="equal">
      <formula>"H9"</formula>
    </cfRule>
  </conditionalFormatting>
  <conditionalFormatting sqref="J3:J5">
    <cfRule type="cellIs" dxfId="35" priority="1" operator="equal">
      <formula>"E6"</formula>
    </cfRule>
    <cfRule type="cellIs" dxfId="34" priority="2" operator="equal">
      <formula>"E5"</formula>
    </cfRule>
    <cfRule type="cellIs" dxfId="33" priority="3" operator="equal">
      <formula>"E4"</formula>
    </cfRule>
    <cfRule type="cellIs" dxfId="32" priority="4" operator="equal">
      <formula>"E3"</formula>
    </cfRule>
    <cfRule type="cellIs" dxfId="31" priority="5" operator="equal">
      <formula>"E2"</formula>
    </cfRule>
    <cfRule type="cellIs" dxfId="30" priority="6" operator="equal">
      <formula>"E1"</formula>
    </cfRule>
    <cfRule type="cellIs" dxfId="29" priority="33" operator="equal">
      <formula>"H7"</formula>
    </cfRule>
    <cfRule type="cellIs" dxfId="28" priority="34" operator="equal">
      <formula>"M13"</formula>
    </cfRule>
    <cfRule type="cellIs" dxfId="27" priority="35" operator="equal">
      <formula>"M12"</formula>
    </cfRule>
    <cfRule type="cellIs" dxfId="26" priority="36" operator="equal">
      <formula>"M11"</formula>
    </cfRule>
    <cfRule type="cellIs" dxfId="25" priority="37" operator="equal">
      <formula>"L14"</formula>
    </cfRule>
    <cfRule type="cellIs" dxfId="24" priority="38" operator="equal">
      <formula>"L15"</formula>
    </cfRule>
    <cfRule type="cellIs" dxfId="23" priority="39" operator="equal">
      <formula>"L16"</formula>
    </cfRule>
  </conditionalFormatting>
  <conditionalFormatting sqref="U3:U5">
    <cfRule type="cellIs" dxfId="22" priority="8" operator="equal">
      <formula>"E5"</formula>
    </cfRule>
    <cfRule type="cellIs" dxfId="21" priority="9" operator="equal">
      <formula>"E1"</formula>
    </cfRule>
    <cfRule type="cellIs" dxfId="20" priority="10" operator="equal">
      <formula>"E6"</formula>
    </cfRule>
    <cfRule type="cellIs" dxfId="19" priority="11" operator="equal">
      <formula>"E2"</formula>
    </cfRule>
    <cfRule type="cellIs" dxfId="18" priority="12" operator="equal">
      <formula>"E3"</formula>
    </cfRule>
    <cfRule type="cellIs" dxfId="17" priority="13" operator="equal">
      <formula>"E4"</formula>
    </cfRule>
    <cfRule type="cellIs" dxfId="16" priority="14" operator="equal">
      <formula>"H8"</formula>
    </cfRule>
    <cfRule type="cellIs" dxfId="15" priority="15" operator="equal">
      <formula>"H10"</formula>
    </cfRule>
    <cfRule type="cellIs" dxfId="14" priority="16" operator="equal">
      <formula>"H9"</formula>
    </cfRule>
    <cfRule type="cellIs" dxfId="13" priority="17" operator="equal">
      <formula>"H7"</formula>
    </cfRule>
    <cfRule type="cellIs" dxfId="12" priority="18" operator="equal">
      <formula>"M13"</formula>
    </cfRule>
    <cfRule type="cellIs" dxfId="11" priority="19" operator="equal">
      <formula>"M12"</formula>
    </cfRule>
    <cfRule type="cellIs" dxfId="10" priority="20" operator="equal">
      <formula>"M11"</formula>
    </cfRule>
    <cfRule type="cellIs" dxfId="9" priority="21" operator="equal">
      <formula>"L14"</formula>
    </cfRule>
    <cfRule type="cellIs" dxfId="8" priority="22" operator="equal">
      <formula>"L15"</formula>
    </cfRule>
    <cfRule type="cellIs" dxfId="7" priority="23" operator="equal">
      <formula>"L16"</formula>
    </cfRule>
  </conditionalFormatting>
  <dataValidations count="1">
    <dataValidation type="list" allowBlank="1" showInputMessage="1" showErrorMessage="1" sqref="D3:D5" xr:uid="{00000000-0002-0000-0D00-000000000000}"/>
  </dataValidations>
  <printOptions horizontalCentered="1"/>
  <pageMargins left="0.11811023622047245" right="0" top="0.35433070866141736" bottom="0.15748031496062992" header="0.31496062992125984" footer="0"/>
  <pageSetup paperSize="9" scale="49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1000000}">
          <x14:formula1>
            <xm:f>'1.2 Plant incident '!$B$9:$B$24</xm:f>
          </x14:formula1>
          <xm:sqref>C3:C5</xm:sqref>
        </x14:dataValidation>
        <x14:dataValidation type="list" allowBlank="1" showInputMessage="1" showErrorMessage="1" xr:uid="{00000000-0002-0000-0D00-000002000000}">
          <x14:formula1>
            <xm:f>'1.2 Plant incident '!$A$9:$A$24</xm:f>
          </x14:formula1>
          <xm:sqref>B3:B5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F28"/>
  <sheetViews>
    <sheetView showGridLines="0" topLeftCell="Q1" zoomScale="98" zoomScaleNormal="130" workbookViewId="0">
      <selection activeCell="N8" sqref="N8:N14"/>
    </sheetView>
  </sheetViews>
  <sheetFormatPr defaultRowHeight="14.4"/>
  <cols>
    <col min="1" max="1" width="15.6640625" customWidth="1"/>
    <col min="2" max="2" width="45.6640625" customWidth="1"/>
    <col min="3" max="12" width="5.6640625" customWidth="1"/>
    <col min="13" max="15" width="8.6640625" customWidth="1"/>
    <col min="16" max="32" width="12.6640625" customWidth="1"/>
  </cols>
  <sheetData>
    <row r="1" spans="1:32" ht="20.399999999999999">
      <c r="A1" s="452" t="s">
        <v>4609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  <c r="AC1" s="452"/>
      <c r="AD1" s="452"/>
      <c r="AE1" s="452"/>
      <c r="AF1" s="452"/>
    </row>
    <row r="2" spans="1:32" ht="9.6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spans="1:32" ht="17.399999999999999">
      <c r="A3" s="17" t="s">
        <v>4577</v>
      </c>
      <c r="B3" s="453" t="e">
        <f>#REF!</f>
        <v>#REF!</v>
      </c>
      <c r="C3" s="453"/>
      <c r="D3" s="17" t="s">
        <v>4583</v>
      </c>
      <c r="F3" s="453" t="e">
        <f>#REF!</f>
        <v>#REF!</v>
      </c>
      <c r="G3" s="453"/>
      <c r="H3" s="453"/>
      <c r="I3" s="453"/>
      <c r="J3" s="453"/>
      <c r="K3" s="18"/>
      <c r="L3" s="18"/>
      <c r="M3" s="17" t="s">
        <v>4579</v>
      </c>
      <c r="N3" s="235" t="e">
        <f>#REF!</f>
        <v>#REF!</v>
      </c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 t="str">
        <f>AE8&amp;AE9&amp;AE10&amp;AE11</f>
        <v>ปตท.
WHA
PEA
EGAT</v>
      </c>
      <c r="AF3" s="188"/>
    </row>
    <row r="4" spans="1:32" ht="15.6">
      <c r="A4" s="17" t="s">
        <v>4580</v>
      </c>
      <c r="B4" s="454" t="e">
        <f>#REF!</f>
        <v>#REF!</v>
      </c>
      <c r="C4" s="454"/>
      <c r="D4" s="17" t="s">
        <v>4584</v>
      </c>
      <c r="E4" s="17"/>
      <c r="F4" s="454" t="e">
        <f>#REF!</f>
        <v>#REF!</v>
      </c>
      <c r="G4" s="454"/>
      <c r="H4" s="454"/>
      <c r="I4" s="454"/>
      <c r="J4" s="454"/>
      <c r="K4" s="18"/>
      <c r="L4" s="18"/>
      <c r="M4" s="17" t="s">
        <v>4582</v>
      </c>
      <c r="N4" s="20" t="e">
        <f>#REF!</f>
        <v>#REF!</v>
      </c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8" t="s">
        <v>4976</v>
      </c>
      <c r="AF4" s="187"/>
    </row>
    <row r="5" spans="1:32" ht="15" thickBot="1"/>
    <row r="6" spans="1:32" ht="15.6" thickBot="1">
      <c r="A6" s="465" t="s">
        <v>4610</v>
      </c>
      <c r="B6" s="463" t="s">
        <v>4611</v>
      </c>
      <c r="C6" s="458" t="s">
        <v>4612</v>
      </c>
      <c r="D6" s="459"/>
      <c r="E6" s="459"/>
      <c r="F6" s="459"/>
      <c r="G6" s="459"/>
      <c r="H6" s="459"/>
      <c r="I6" s="459"/>
      <c r="J6" s="459"/>
      <c r="K6" s="459"/>
      <c r="L6" s="460"/>
      <c r="M6" s="467" t="s">
        <v>4613</v>
      </c>
      <c r="N6" s="467" t="s">
        <v>4614</v>
      </c>
      <c r="O6" s="446" t="s">
        <v>4615</v>
      </c>
      <c r="P6" s="461" t="s">
        <v>4616</v>
      </c>
      <c r="Q6" s="455" t="s">
        <v>4617</v>
      </c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6"/>
      <c r="AE6" s="456"/>
      <c r="AF6" s="457"/>
    </row>
    <row r="7" spans="1:32" ht="75.599999999999994" thickBot="1">
      <c r="A7" s="466"/>
      <c r="B7" s="464"/>
      <c r="C7" s="185" t="s">
        <v>4618</v>
      </c>
      <c r="D7" s="186" t="s">
        <v>4619</v>
      </c>
      <c r="E7" s="185" t="s">
        <v>4620</v>
      </c>
      <c r="F7" s="186" t="s">
        <v>4621</v>
      </c>
      <c r="G7" s="185" t="s">
        <v>4622</v>
      </c>
      <c r="H7" s="185" t="s">
        <v>4623</v>
      </c>
      <c r="I7" s="185" t="s">
        <v>4624</v>
      </c>
      <c r="J7" s="185" t="s">
        <v>4625</v>
      </c>
      <c r="K7" s="185" t="s">
        <v>4626</v>
      </c>
      <c r="L7" s="185" t="s">
        <v>4627</v>
      </c>
      <c r="M7" s="468"/>
      <c r="N7" s="468"/>
      <c r="O7" s="447"/>
      <c r="P7" s="462"/>
      <c r="Q7" s="184" t="s">
        <v>4628</v>
      </c>
      <c r="R7" s="184" t="s">
        <v>4629</v>
      </c>
      <c r="S7" s="184" t="s">
        <v>4630</v>
      </c>
      <c r="T7" s="184" t="s">
        <v>4631</v>
      </c>
      <c r="U7" s="184" t="s">
        <v>4632</v>
      </c>
      <c r="V7" s="184" t="s">
        <v>4633</v>
      </c>
      <c r="W7" s="184" t="s">
        <v>4634</v>
      </c>
      <c r="X7" s="184" t="s">
        <v>4635</v>
      </c>
      <c r="Y7" s="184" t="s">
        <v>4636</v>
      </c>
      <c r="Z7" s="184" t="s">
        <v>4637</v>
      </c>
      <c r="AA7" s="184" t="s">
        <v>4638</v>
      </c>
      <c r="AB7" s="184" t="s">
        <v>4639</v>
      </c>
      <c r="AC7" s="184" t="s">
        <v>4640</v>
      </c>
      <c r="AD7" s="184" t="s">
        <v>4641</v>
      </c>
      <c r="AE7" s="184" t="s">
        <v>4642</v>
      </c>
      <c r="AF7" s="184" t="s">
        <v>4643</v>
      </c>
    </row>
    <row r="8" spans="1:32" ht="19.95" customHeight="1">
      <c r="A8" s="440" t="s">
        <v>4644</v>
      </c>
      <c r="B8" s="243" t="s">
        <v>4645</v>
      </c>
      <c r="C8" s="183">
        <v>2</v>
      </c>
      <c r="D8" s="182">
        <v>2</v>
      </c>
      <c r="E8" s="183">
        <v>2</v>
      </c>
      <c r="F8" s="182">
        <v>3</v>
      </c>
      <c r="G8" s="183">
        <v>4</v>
      </c>
      <c r="H8" s="182">
        <v>4</v>
      </c>
      <c r="I8" s="183">
        <v>4</v>
      </c>
      <c r="J8" s="182">
        <v>4</v>
      </c>
      <c r="K8" s="181">
        <f t="shared" ref="K8:K28" si="0">SUM(C8*8)+(D8*7)+(E8*6)+(F8*5)+(G8*4)+(H8*3)+(I8*2)+(J8*1)</f>
        <v>97</v>
      </c>
      <c r="L8" s="181" t="str">
        <f t="shared" ref="L8:L28" si="1">IF(K8&lt;=36,"Priority4",IF(K8&lt;=72,"Priority3",IF(K8&lt;=99,"Priority2",IF(K8&gt;=100,"Priority1"))))</f>
        <v>Priority2</v>
      </c>
      <c r="M8" s="443" t="s">
        <v>4646</v>
      </c>
      <c r="N8" s="448" t="s">
        <v>4646</v>
      </c>
      <c r="O8" s="437" t="s">
        <v>4647</v>
      </c>
      <c r="P8" s="434" t="s">
        <v>4968</v>
      </c>
      <c r="Q8" s="431" t="s">
        <v>4973</v>
      </c>
      <c r="R8" s="431" t="s">
        <v>4974</v>
      </c>
      <c r="S8" s="431" t="s">
        <v>4969</v>
      </c>
      <c r="T8" s="431" t="s">
        <v>4969</v>
      </c>
      <c r="U8" s="431" t="s">
        <v>4648</v>
      </c>
      <c r="V8" s="434" t="s">
        <v>4970</v>
      </c>
      <c r="W8" s="431" t="s">
        <v>4971</v>
      </c>
      <c r="X8" s="431" t="s">
        <v>4972</v>
      </c>
      <c r="Y8" s="431" t="s">
        <v>4975</v>
      </c>
      <c r="Z8" s="431" t="s">
        <v>4975</v>
      </c>
      <c r="AA8" s="431" t="s">
        <v>4649</v>
      </c>
      <c r="AB8" s="431" t="s">
        <v>4649</v>
      </c>
      <c r="AC8" s="431" t="s">
        <v>3927</v>
      </c>
      <c r="AD8" s="431" t="s">
        <v>4650</v>
      </c>
      <c r="AE8" s="431" t="s">
        <v>4977</v>
      </c>
      <c r="AF8" s="431" t="s">
        <v>4977</v>
      </c>
    </row>
    <row r="9" spans="1:32" ht="19.95" customHeight="1">
      <c r="A9" s="441"/>
      <c r="B9" s="244" t="s">
        <v>4651</v>
      </c>
      <c r="C9" s="180">
        <v>2</v>
      </c>
      <c r="D9" s="179">
        <v>3</v>
      </c>
      <c r="E9" s="180">
        <v>3</v>
      </c>
      <c r="F9" s="179">
        <v>3</v>
      </c>
      <c r="G9" s="180">
        <v>4</v>
      </c>
      <c r="H9" s="179">
        <v>4</v>
      </c>
      <c r="I9" s="180">
        <v>4</v>
      </c>
      <c r="J9" s="179">
        <v>4</v>
      </c>
      <c r="K9" s="176">
        <f t="shared" si="0"/>
        <v>110</v>
      </c>
      <c r="L9" s="176" t="str">
        <f t="shared" si="1"/>
        <v>Priority1</v>
      </c>
      <c r="M9" s="444"/>
      <c r="N9" s="449"/>
      <c r="O9" s="438"/>
      <c r="P9" s="435"/>
      <c r="Q9" s="432"/>
      <c r="R9" s="432"/>
      <c r="S9" s="432"/>
      <c r="T9" s="432"/>
      <c r="U9" s="432"/>
      <c r="V9" s="435"/>
      <c r="W9" s="432"/>
      <c r="X9" s="432"/>
      <c r="Y9" s="432"/>
      <c r="Z9" s="432"/>
      <c r="AA9" s="432"/>
      <c r="AB9" s="432"/>
      <c r="AC9" s="432"/>
      <c r="AD9" s="432"/>
      <c r="AE9" s="432"/>
      <c r="AF9" s="432"/>
    </row>
    <row r="10" spans="1:32" ht="19.95" customHeight="1">
      <c r="A10" s="441"/>
      <c r="B10" s="244" t="s">
        <v>4652</v>
      </c>
      <c r="C10" s="180">
        <v>1</v>
      </c>
      <c r="D10" s="179">
        <v>1</v>
      </c>
      <c r="E10" s="180">
        <v>1</v>
      </c>
      <c r="F10" s="179">
        <v>1</v>
      </c>
      <c r="G10" s="180">
        <v>1</v>
      </c>
      <c r="H10" s="179">
        <v>1</v>
      </c>
      <c r="I10" s="180">
        <v>1</v>
      </c>
      <c r="J10" s="179">
        <v>1</v>
      </c>
      <c r="K10" s="176">
        <f t="shared" si="0"/>
        <v>36</v>
      </c>
      <c r="L10" s="176" t="str">
        <f t="shared" si="1"/>
        <v>Priority4</v>
      </c>
      <c r="M10" s="444"/>
      <c r="N10" s="449"/>
      <c r="O10" s="438"/>
      <c r="P10" s="435"/>
      <c r="Q10" s="432"/>
      <c r="R10" s="432"/>
      <c r="S10" s="432"/>
      <c r="T10" s="432"/>
      <c r="U10" s="432"/>
      <c r="V10" s="435"/>
      <c r="W10" s="432"/>
      <c r="X10" s="432"/>
      <c r="Y10" s="432"/>
      <c r="Z10" s="432"/>
      <c r="AA10" s="432"/>
      <c r="AB10" s="432"/>
      <c r="AC10" s="432"/>
      <c r="AD10" s="432"/>
      <c r="AE10" s="432"/>
      <c r="AF10" s="432"/>
    </row>
    <row r="11" spans="1:32" ht="19.95" customHeight="1">
      <c r="A11" s="441"/>
      <c r="B11" s="244" t="s">
        <v>4653</v>
      </c>
      <c r="C11" s="180">
        <v>2</v>
      </c>
      <c r="D11" s="179">
        <v>2</v>
      </c>
      <c r="E11" s="180">
        <v>2</v>
      </c>
      <c r="F11" s="179">
        <v>2</v>
      </c>
      <c r="G11" s="180">
        <v>2</v>
      </c>
      <c r="H11" s="179">
        <v>2</v>
      </c>
      <c r="I11" s="180">
        <v>2</v>
      </c>
      <c r="J11" s="179">
        <v>2</v>
      </c>
      <c r="K11" s="176">
        <f t="shared" si="0"/>
        <v>72</v>
      </c>
      <c r="L11" s="176" t="str">
        <f t="shared" si="1"/>
        <v>Priority3</v>
      </c>
      <c r="M11" s="444"/>
      <c r="N11" s="449"/>
      <c r="O11" s="438"/>
      <c r="P11" s="435"/>
      <c r="Q11" s="432"/>
      <c r="R11" s="432"/>
      <c r="S11" s="432"/>
      <c r="T11" s="432"/>
      <c r="U11" s="432"/>
      <c r="V11" s="435"/>
      <c r="W11" s="432"/>
      <c r="X11" s="432"/>
      <c r="Y11" s="432"/>
      <c r="Z11" s="432"/>
      <c r="AA11" s="432"/>
      <c r="AB11" s="432"/>
      <c r="AC11" s="432"/>
      <c r="AD11" s="432"/>
      <c r="AE11" s="432"/>
      <c r="AF11" s="432"/>
    </row>
    <row r="12" spans="1:32" ht="19.95" customHeight="1">
      <c r="A12" s="441"/>
      <c r="B12" s="244" t="s">
        <v>4654</v>
      </c>
      <c r="C12" s="180">
        <v>2</v>
      </c>
      <c r="D12" s="179">
        <v>3</v>
      </c>
      <c r="E12" s="180">
        <v>3</v>
      </c>
      <c r="F12" s="179">
        <v>3</v>
      </c>
      <c r="G12" s="180">
        <v>4</v>
      </c>
      <c r="H12" s="180">
        <v>4</v>
      </c>
      <c r="I12" s="180">
        <v>4</v>
      </c>
      <c r="J12" s="180">
        <v>4</v>
      </c>
      <c r="K12" s="176">
        <f t="shared" si="0"/>
        <v>110</v>
      </c>
      <c r="L12" s="176" t="str">
        <f t="shared" si="1"/>
        <v>Priority1</v>
      </c>
      <c r="M12" s="444"/>
      <c r="N12" s="449"/>
      <c r="O12" s="438"/>
      <c r="P12" s="435"/>
      <c r="Q12" s="432"/>
      <c r="R12" s="432"/>
      <c r="S12" s="432"/>
      <c r="T12" s="432"/>
      <c r="U12" s="432"/>
      <c r="V12" s="435"/>
      <c r="W12" s="432"/>
      <c r="X12" s="432"/>
      <c r="Y12" s="432"/>
      <c r="Z12" s="432"/>
      <c r="AA12" s="432"/>
      <c r="AB12" s="432"/>
      <c r="AC12" s="432"/>
      <c r="AD12" s="432"/>
      <c r="AE12" s="432"/>
      <c r="AF12" s="432"/>
    </row>
    <row r="13" spans="1:32" ht="19.95" customHeight="1">
      <c r="A13" s="441"/>
      <c r="B13" s="244" t="s">
        <v>4655</v>
      </c>
      <c r="C13" s="180">
        <v>2</v>
      </c>
      <c r="D13" s="179">
        <v>2</v>
      </c>
      <c r="E13" s="180">
        <v>2</v>
      </c>
      <c r="F13" s="179">
        <v>2</v>
      </c>
      <c r="G13" s="180">
        <v>4</v>
      </c>
      <c r="H13" s="179">
        <v>4</v>
      </c>
      <c r="I13" s="180">
        <v>4</v>
      </c>
      <c r="J13" s="179">
        <v>4</v>
      </c>
      <c r="K13" s="176">
        <f t="shared" si="0"/>
        <v>92</v>
      </c>
      <c r="L13" s="176" t="str">
        <f t="shared" si="1"/>
        <v>Priority2</v>
      </c>
      <c r="M13" s="444"/>
      <c r="N13" s="449"/>
      <c r="O13" s="438"/>
      <c r="P13" s="435"/>
      <c r="Q13" s="432"/>
      <c r="R13" s="432"/>
      <c r="S13" s="432"/>
      <c r="T13" s="432"/>
      <c r="U13" s="432"/>
      <c r="V13" s="435"/>
      <c r="W13" s="432"/>
      <c r="X13" s="432"/>
      <c r="Y13" s="432"/>
      <c r="Z13" s="432"/>
      <c r="AA13" s="432"/>
      <c r="AB13" s="432"/>
      <c r="AC13" s="432"/>
      <c r="AD13" s="432"/>
      <c r="AE13" s="432"/>
      <c r="AF13" s="432"/>
    </row>
    <row r="14" spans="1:32" ht="19.95" customHeight="1" thickBot="1">
      <c r="A14" s="442"/>
      <c r="B14" s="245" t="s">
        <v>4656</v>
      </c>
      <c r="C14" s="189">
        <v>1</v>
      </c>
      <c r="D14" s="195">
        <v>2</v>
      </c>
      <c r="E14" s="189">
        <v>2</v>
      </c>
      <c r="F14" s="195">
        <v>3</v>
      </c>
      <c r="G14" s="189">
        <v>4</v>
      </c>
      <c r="H14" s="195">
        <v>4</v>
      </c>
      <c r="I14" s="189">
        <v>4</v>
      </c>
      <c r="J14" s="195">
        <v>4</v>
      </c>
      <c r="K14" s="190">
        <f t="shared" si="0"/>
        <v>89</v>
      </c>
      <c r="L14" s="190" t="str">
        <f t="shared" si="1"/>
        <v>Priority2</v>
      </c>
      <c r="M14" s="445"/>
      <c r="N14" s="450"/>
      <c r="O14" s="439"/>
      <c r="P14" s="436"/>
      <c r="Q14" s="433"/>
      <c r="R14" s="433"/>
      <c r="S14" s="433"/>
      <c r="T14" s="433"/>
      <c r="U14" s="433"/>
      <c r="V14" s="436"/>
      <c r="W14" s="433"/>
      <c r="X14" s="433"/>
      <c r="Y14" s="433"/>
      <c r="Z14" s="433"/>
      <c r="AA14" s="433"/>
      <c r="AB14" s="433"/>
      <c r="AC14" s="433"/>
      <c r="AD14" s="433"/>
      <c r="AE14" s="433"/>
      <c r="AF14" s="433"/>
    </row>
    <row r="15" spans="1:32" ht="19.95" customHeight="1">
      <c r="A15" s="440" t="s">
        <v>4657</v>
      </c>
      <c r="B15" s="246" t="s">
        <v>4645</v>
      </c>
      <c r="C15" s="191">
        <v>2</v>
      </c>
      <c r="D15" s="196">
        <v>2</v>
      </c>
      <c r="E15" s="191">
        <v>2</v>
      </c>
      <c r="F15" s="196">
        <v>3</v>
      </c>
      <c r="G15" s="191">
        <v>4</v>
      </c>
      <c r="H15" s="196">
        <v>4</v>
      </c>
      <c r="I15" s="191">
        <v>4</v>
      </c>
      <c r="J15" s="196">
        <v>4</v>
      </c>
      <c r="K15" s="192">
        <f t="shared" si="0"/>
        <v>97</v>
      </c>
      <c r="L15" s="192" t="str">
        <f t="shared" si="1"/>
        <v>Priority2</v>
      </c>
      <c r="M15" s="443" t="s">
        <v>4646</v>
      </c>
      <c r="N15" s="448" t="s">
        <v>4646</v>
      </c>
      <c r="O15" s="451" t="s">
        <v>4658</v>
      </c>
      <c r="P15" s="434" t="s">
        <v>4968</v>
      </c>
      <c r="Q15" s="431" t="s">
        <v>4973</v>
      </c>
      <c r="R15" s="431" t="s">
        <v>4974</v>
      </c>
      <c r="S15" s="431" t="s">
        <v>4969</v>
      </c>
      <c r="T15" s="431" t="s">
        <v>4969</v>
      </c>
      <c r="U15" s="431" t="s">
        <v>4648</v>
      </c>
      <c r="V15" s="434" t="s">
        <v>4970</v>
      </c>
      <c r="W15" s="431" t="s">
        <v>4971</v>
      </c>
      <c r="X15" s="431" t="s">
        <v>4972</v>
      </c>
      <c r="Y15" s="431" t="s">
        <v>4975</v>
      </c>
      <c r="Z15" s="431" t="s">
        <v>4975</v>
      </c>
      <c r="AA15" s="431" t="s">
        <v>4649</v>
      </c>
      <c r="AB15" s="431" t="s">
        <v>4649</v>
      </c>
      <c r="AC15" s="431" t="s">
        <v>3927</v>
      </c>
      <c r="AD15" s="431" t="s">
        <v>4650</v>
      </c>
      <c r="AE15" s="431" t="s">
        <v>4977</v>
      </c>
      <c r="AF15" s="431" t="s">
        <v>4977</v>
      </c>
    </row>
    <row r="16" spans="1:32" ht="19.95" customHeight="1">
      <c r="A16" s="441"/>
      <c r="B16" s="247" t="s">
        <v>4651</v>
      </c>
      <c r="C16" s="180">
        <v>2</v>
      </c>
      <c r="D16" s="179">
        <v>3</v>
      </c>
      <c r="E16" s="180">
        <v>3</v>
      </c>
      <c r="F16" s="179">
        <v>3</v>
      </c>
      <c r="G16" s="180">
        <v>4</v>
      </c>
      <c r="H16" s="179">
        <v>4</v>
      </c>
      <c r="I16" s="180">
        <v>4</v>
      </c>
      <c r="J16" s="179">
        <v>4</v>
      </c>
      <c r="K16" s="176">
        <f t="shared" si="0"/>
        <v>110</v>
      </c>
      <c r="L16" s="176" t="str">
        <f t="shared" si="1"/>
        <v>Priority1</v>
      </c>
      <c r="M16" s="444"/>
      <c r="N16" s="449"/>
      <c r="O16" s="438"/>
      <c r="P16" s="435"/>
      <c r="Q16" s="432"/>
      <c r="R16" s="432"/>
      <c r="S16" s="432"/>
      <c r="T16" s="432"/>
      <c r="U16" s="432"/>
      <c r="V16" s="435"/>
      <c r="W16" s="432"/>
      <c r="X16" s="432"/>
      <c r="Y16" s="432"/>
      <c r="Z16" s="432"/>
      <c r="AA16" s="432"/>
      <c r="AB16" s="432"/>
      <c r="AC16" s="432"/>
      <c r="AD16" s="432"/>
      <c r="AE16" s="432"/>
      <c r="AF16" s="432"/>
    </row>
    <row r="17" spans="1:32" ht="19.95" customHeight="1">
      <c r="A17" s="441"/>
      <c r="B17" s="247" t="s">
        <v>4652</v>
      </c>
      <c r="C17" s="180">
        <v>1</v>
      </c>
      <c r="D17" s="179">
        <v>1</v>
      </c>
      <c r="E17" s="180">
        <v>1</v>
      </c>
      <c r="F17" s="179">
        <v>1</v>
      </c>
      <c r="G17" s="180">
        <v>1</v>
      </c>
      <c r="H17" s="179">
        <v>1</v>
      </c>
      <c r="I17" s="180">
        <v>1</v>
      </c>
      <c r="J17" s="179">
        <v>1</v>
      </c>
      <c r="K17" s="176">
        <f t="shared" si="0"/>
        <v>36</v>
      </c>
      <c r="L17" s="176" t="str">
        <f t="shared" si="1"/>
        <v>Priority4</v>
      </c>
      <c r="M17" s="444"/>
      <c r="N17" s="449"/>
      <c r="O17" s="438"/>
      <c r="P17" s="435"/>
      <c r="Q17" s="432"/>
      <c r="R17" s="432"/>
      <c r="S17" s="432"/>
      <c r="T17" s="432"/>
      <c r="U17" s="432"/>
      <c r="V17" s="435"/>
      <c r="W17" s="432"/>
      <c r="X17" s="432"/>
      <c r="Y17" s="432"/>
      <c r="Z17" s="432"/>
      <c r="AA17" s="432"/>
      <c r="AB17" s="432"/>
      <c r="AC17" s="432"/>
      <c r="AD17" s="432"/>
      <c r="AE17" s="432"/>
      <c r="AF17" s="432"/>
    </row>
    <row r="18" spans="1:32" ht="19.95" customHeight="1">
      <c r="A18" s="441"/>
      <c r="B18" s="247" t="s">
        <v>4653</v>
      </c>
      <c r="C18" s="180">
        <v>2</v>
      </c>
      <c r="D18" s="180">
        <v>2</v>
      </c>
      <c r="E18" s="180">
        <v>2</v>
      </c>
      <c r="F18" s="180">
        <v>2</v>
      </c>
      <c r="G18" s="180">
        <v>2</v>
      </c>
      <c r="H18" s="180">
        <v>2</v>
      </c>
      <c r="I18" s="180">
        <v>2</v>
      </c>
      <c r="J18" s="180">
        <v>2</v>
      </c>
      <c r="K18" s="176">
        <f t="shared" si="0"/>
        <v>72</v>
      </c>
      <c r="L18" s="176" t="str">
        <f t="shared" si="1"/>
        <v>Priority3</v>
      </c>
      <c r="M18" s="444"/>
      <c r="N18" s="449"/>
      <c r="O18" s="438"/>
      <c r="P18" s="435"/>
      <c r="Q18" s="432"/>
      <c r="R18" s="432"/>
      <c r="S18" s="432"/>
      <c r="T18" s="432"/>
      <c r="U18" s="432"/>
      <c r="V18" s="435"/>
      <c r="W18" s="432"/>
      <c r="X18" s="432"/>
      <c r="Y18" s="432"/>
      <c r="Z18" s="432"/>
      <c r="AA18" s="432"/>
      <c r="AB18" s="432"/>
      <c r="AC18" s="432"/>
      <c r="AD18" s="432"/>
      <c r="AE18" s="432"/>
      <c r="AF18" s="432"/>
    </row>
    <row r="19" spans="1:32" ht="19.95" customHeight="1">
      <c r="A19" s="441"/>
      <c r="B19" s="247" t="s">
        <v>4654</v>
      </c>
      <c r="C19" s="180">
        <v>2</v>
      </c>
      <c r="D19" s="179">
        <v>3</v>
      </c>
      <c r="E19" s="180">
        <v>3</v>
      </c>
      <c r="F19" s="179">
        <v>3</v>
      </c>
      <c r="G19" s="180">
        <v>4</v>
      </c>
      <c r="H19" s="179">
        <v>4</v>
      </c>
      <c r="I19" s="180">
        <v>4</v>
      </c>
      <c r="J19" s="179">
        <v>4</v>
      </c>
      <c r="K19" s="176">
        <f t="shared" si="0"/>
        <v>110</v>
      </c>
      <c r="L19" s="176" t="str">
        <f t="shared" si="1"/>
        <v>Priority1</v>
      </c>
      <c r="M19" s="444"/>
      <c r="N19" s="449"/>
      <c r="O19" s="438"/>
      <c r="P19" s="435"/>
      <c r="Q19" s="432"/>
      <c r="R19" s="432"/>
      <c r="S19" s="432"/>
      <c r="T19" s="432"/>
      <c r="U19" s="432"/>
      <c r="V19" s="435"/>
      <c r="W19" s="432"/>
      <c r="X19" s="432"/>
      <c r="Y19" s="432"/>
      <c r="Z19" s="432"/>
      <c r="AA19" s="432"/>
      <c r="AB19" s="432"/>
      <c r="AC19" s="432"/>
      <c r="AD19" s="432"/>
      <c r="AE19" s="432"/>
      <c r="AF19" s="432"/>
    </row>
    <row r="20" spans="1:32" ht="19.95" customHeight="1">
      <c r="A20" s="441"/>
      <c r="B20" s="247" t="s">
        <v>4655</v>
      </c>
      <c r="C20" s="180">
        <v>2</v>
      </c>
      <c r="D20" s="179">
        <v>2</v>
      </c>
      <c r="E20" s="180">
        <v>2</v>
      </c>
      <c r="F20" s="179">
        <v>2</v>
      </c>
      <c r="G20" s="180">
        <v>4</v>
      </c>
      <c r="H20" s="179">
        <v>4</v>
      </c>
      <c r="I20" s="180">
        <v>4</v>
      </c>
      <c r="J20" s="179">
        <v>4</v>
      </c>
      <c r="K20" s="176">
        <f t="shared" si="0"/>
        <v>92</v>
      </c>
      <c r="L20" s="176" t="str">
        <f t="shared" si="1"/>
        <v>Priority2</v>
      </c>
      <c r="M20" s="444"/>
      <c r="N20" s="449"/>
      <c r="O20" s="438"/>
      <c r="P20" s="435"/>
      <c r="Q20" s="432"/>
      <c r="R20" s="432"/>
      <c r="S20" s="432"/>
      <c r="T20" s="432"/>
      <c r="U20" s="432"/>
      <c r="V20" s="435"/>
      <c r="W20" s="432"/>
      <c r="X20" s="432"/>
      <c r="Y20" s="432"/>
      <c r="Z20" s="432"/>
      <c r="AA20" s="432"/>
      <c r="AB20" s="432"/>
      <c r="AC20" s="432"/>
      <c r="AD20" s="432"/>
      <c r="AE20" s="432"/>
      <c r="AF20" s="432"/>
    </row>
    <row r="21" spans="1:32" ht="19.95" customHeight="1" thickBot="1">
      <c r="A21" s="442"/>
      <c r="B21" s="245" t="s">
        <v>4656</v>
      </c>
      <c r="C21" s="178">
        <v>1</v>
      </c>
      <c r="D21" s="177">
        <v>2</v>
      </c>
      <c r="E21" s="178">
        <v>2</v>
      </c>
      <c r="F21" s="177">
        <v>3</v>
      </c>
      <c r="G21" s="178">
        <v>4</v>
      </c>
      <c r="H21" s="177">
        <v>4</v>
      </c>
      <c r="I21" s="178">
        <v>4</v>
      </c>
      <c r="J21" s="177">
        <v>4</v>
      </c>
      <c r="K21" s="193">
        <f t="shared" si="0"/>
        <v>89</v>
      </c>
      <c r="L21" s="193" t="str">
        <f t="shared" si="1"/>
        <v>Priority2</v>
      </c>
      <c r="M21" s="445"/>
      <c r="N21" s="450"/>
      <c r="O21" s="439"/>
      <c r="P21" s="436"/>
      <c r="Q21" s="433"/>
      <c r="R21" s="433"/>
      <c r="S21" s="433"/>
      <c r="T21" s="433"/>
      <c r="U21" s="433"/>
      <c r="V21" s="436"/>
      <c r="W21" s="433"/>
      <c r="X21" s="433"/>
      <c r="Y21" s="433"/>
      <c r="Z21" s="433"/>
      <c r="AA21" s="433"/>
      <c r="AB21" s="433"/>
      <c r="AC21" s="433"/>
      <c r="AD21" s="433"/>
      <c r="AE21" s="433"/>
      <c r="AF21" s="433"/>
    </row>
    <row r="22" spans="1:32" ht="19.95" customHeight="1">
      <c r="A22" s="440" t="s">
        <v>4659</v>
      </c>
      <c r="B22" s="246" t="s">
        <v>4645</v>
      </c>
      <c r="C22" s="183">
        <v>2</v>
      </c>
      <c r="D22" s="182">
        <v>2</v>
      </c>
      <c r="E22" s="183">
        <v>2</v>
      </c>
      <c r="F22" s="182">
        <v>3</v>
      </c>
      <c r="G22" s="183">
        <v>4</v>
      </c>
      <c r="H22" s="182">
        <v>4</v>
      </c>
      <c r="I22" s="183">
        <v>4</v>
      </c>
      <c r="J22" s="182">
        <v>4</v>
      </c>
      <c r="K22" s="181">
        <f t="shared" si="0"/>
        <v>97</v>
      </c>
      <c r="L22" s="181" t="str">
        <f t="shared" si="1"/>
        <v>Priority2</v>
      </c>
      <c r="M22" s="443" t="s">
        <v>4646</v>
      </c>
      <c r="N22" s="448" t="s">
        <v>4646</v>
      </c>
      <c r="O22" s="437" t="s">
        <v>4660</v>
      </c>
      <c r="P22" s="434" t="s">
        <v>4968</v>
      </c>
      <c r="Q22" s="431" t="s">
        <v>4973</v>
      </c>
      <c r="R22" s="431" t="s">
        <v>4974</v>
      </c>
      <c r="S22" s="431" t="s">
        <v>4969</v>
      </c>
      <c r="T22" s="431" t="s">
        <v>4969</v>
      </c>
      <c r="U22" s="431" t="s">
        <v>4648</v>
      </c>
      <c r="V22" s="434" t="s">
        <v>4970</v>
      </c>
      <c r="W22" s="431" t="s">
        <v>4971</v>
      </c>
      <c r="X22" s="431" t="s">
        <v>4972</v>
      </c>
      <c r="Y22" s="431" t="s">
        <v>4975</v>
      </c>
      <c r="Z22" s="431" t="s">
        <v>4975</v>
      </c>
      <c r="AA22" s="431" t="s">
        <v>4649</v>
      </c>
      <c r="AB22" s="431" t="s">
        <v>4649</v>
      </c>
      <c r="AC22" s="431" t="s">
        <v>3927</v>
      </c>
      <c r="AD22" s="431" t="s">
        <v>4650</v>
      </c>
      <c r="AE22" s="431" t="s">
        <v>4977</v>
      </c>
      <c r="AF22" s="431" t="s">
        <v>4977</v>
      </c>
    </row>
    <row r="23" spans="1:32" ht="19.95" customHeight="1">
      <c r="A23" s="441"/>
      <c r="B23" s="247" t="s">
        <v>4651</v>
      </c>
      <c r="C23" s="180">
        <v>2</v>
      </c>
      <c r="D23" s="179">
        <v>3</v>
      </c>
      <c r="E23" s="180">
        <v>3</v>
      </c>
      <c r="F23" s="179">
        <v>3</v>
      </c>
      <c r="G23" s="180">
        <v>4</v>
      </c>
      <c r="H23" s="179">
        <v>4</v>
      </c>
      <c r="I23" s="180">
        <v>4</v>
      </c>
      <c r="J23" s="179">
        <v>4</v>
      </c>
      <c r="K23" s="176">
        <f t="shared" si="0"/>
        <v>110</v>
      </c>
      <c r="L23" s="176" t="str">
        <f t="shared" si="1"/>
        <v>Priority1</v>
      </c>
      <c r="M23" s="444"/>
      <c r="N23" s="449"/>
      <c r="O23" s="438"/>
      <c r="P23" s="435"/>
      <c r="Q23" s="432"/>
      <c r="R23" s="432"/>
      <c r="S23" s="432"/>
      <c r="T23" s="432"/>
      <c r="U23" s="432"/>
      <c r="V23" s="435"/>
      <c r="W23" s="432"/>
      <c r="X23" s="432"/>
      <c r="Y23" s="432"/>
      <c r="Z23" s="432"/>
      <c r="AA23" s="432"/>
      <c r="AB23" s="432"/>
      <c r="AC23" s="432"/>
      <c r="AD23" s="432"/>
      <c r="AE23" s="432"/>
      <c r="AF23" s="432"/>
    </row>
    <row r="24" spans="1:32" ht="19.95" customHeight="1">
      <c r="A24" s="441"/>
      <c r="B24" s="247" t="s">
        <v>4652</v>
      </c>
      <c r="C24" s="180">
        <v>1</v>
      </c>
      <c r="D24" s="179">
        <v>1</v>
      </c>
      <c r="E24" s="180">
        <v>1</v>
      </c>
      <c r="F24" s="179">
        <v>1</v>
      </c>
      <c r="G24" s="180">
        <v>1</v>
      </c>
      <c r="H24" s="179">
        <v>1</v>
      </c>
      <c r="I24" s="180">
        <v>1</v>
      </c>
      <c r="J24" s="179">
        <v>1</v>
      </c>
      <c r="K24" s="176">
        <f t="shared" si="0"/>
        <v>36</v>
      </c>
      <c r="L24" s="176" t="str">
        <f t="shared" si="1"/>
        <v>Priority4</v>
      </c>
      <c r="M24" s="444"/>
      <c r="N24" s="449"/>
      <c r="O24" s="438"/>
      <c r="P24" s="435"/>
      <c r="Q24" s="432"/>
      <c r="R24" s="432"/>
      <c r="S24" s="432"/>
      <c r="T24" s="432"/>
      <c r="U24" s="432"/>
      <c r="V24" s="435"/>
      <c r="W24" s="432"/>
      <c r="X24" s="432"/>
      <c r="Y24" s="432"/>
      <c r="Z24" s="432"/>
      <c r="AA24" s="432"/>
      <c r="AB24" s="432"/>
      <c r="AC24" s="432"/>
      <c r="AD24" s="432"/>
      <c r="AE24" s="432"/>
      <c r="AF24" s="432"/>
    </row>
    <row r="25" spans="1:32" ht="19.95" customHeight="1">
      <c r="A25" s="441"/>
      <c r="B25" s="247" t="s">
        <v>4653</v>
      </c>
      <c r="C25" s="180">
        <v>2</v>
      </c>
      <c r="D25" s="180">
        <v>2</v>
      </c>
      <c r="E25" s="180">
        <v>2</v>
      </c>
      <c r="F25" s="180">
        <v>2</v>
      </c>
      <c r="G25" s="180">
        <v>2</v>
      </c>
      <c r="H25" s="180">
        <v>2</v>
      </c>
      <c r="I25" s="180">
        <v>2</v>
      </c>
      <c r="J25" s="180">
        <v>2</v>
      </c>
      <c r="K25" s="176">
        <f t="shared" si="0"/>
        <v>72</v>
      </c>
      <c r="L25" s="176" t="str">
        <f t="shared" si="1"/>
        <v>Priority3</v>
      </c>
      <c r="M25" s="444"/>
      <c r="N25" s="449"/>
      <c r="O25" s="438"/>
      <c r="P25" s="435"/>
      <c r="Q25" s="432"/>
      <c r="R25" s="432"/>
      <c r="S25" s="432"/>
      <c r="T25" s="432"/>
      <c r="U25" s="432"/>
      <c r="V25" s="435"/>
      <c r="W25" s="432"/>
      <c r="X25" s="432"/>
      <c r="Y25" s="432"/>
      <c r="Z25" s="432"/>
      <c r="AA25" s="432"/>
      <c r="AB25" s="432"/>
      <c r="AC25" s="432"/>
      <c r="AD25" s="432"/>
      <c r="AE25" s="432"/>
      <c r="AF25" s="432"/>
    </row>
    <row r="26" spans="1:32" ht="19.95" customHeight="1">
      <c r="A26" s="441"/>
      <c r="B26" s="247" t="s">
        <v>4654</v>
      </c>
      <c r="C26" s="180">
        <v>2</v>
      </c>
      <c r="D26" s="179">
        <v>3</v>
      </c>
      <c r="E26" s="180">
        <v>3</v>
      </c>
      <c r="F26" s="179">
        <v>3</v>
      </c>
      <c r="G26" s="180">
        <v>4</v>
      </c>
      <c r="H26" s="179">
        <v>4</v>
      </c>
      <c r="I26" s="180">
        <v>4</v>
      </c>
      <c r="J26" s="179">
        <v>4</v>
      </c>
      <c r="K26" s="176">
        <f t="shared" si="0"/>
        <v>110</v>
      </c>
      <c r="L26" s="176" t="str">
        <f t="shared" si="1"/>
        <v>Priority1</v>
      </c>
      <c r="M26" s="444"/>
      <c r="N26" s="449"/>
      <c r="O26" s="438"/>
      <c r="P26" s="435"/>
      <c r="Q26" s="432"/>
      <c r="R26" s="432"/>
      <c r="S26" s="432"/>
      <c r="T26" s="432"/>
      <c r="U26" s="432"/>
      <c r="V26" s="435"/>
      <c r="W26" s="432"/>
      <c r="X26" s="432"/>
      <c r="Y26" s="432"/>
      <c r="Z26" s="432"/>
      <c r="AA26" s="432"/>
      <c r="AB26" s="432"/>
      <c r="AC26" s="432"/>
      <c r="AD26" s="432"/>
      <c r="AE26" s="432"/>
      <c r="AF26" s="432"/>
    </row>
    <row r="27" spans="1:32" ht="19.95" customHeight="1">
      <c r="A27" s="441"/>
      <c r="B27" s="247" t="s">
        <v>4655</v>
      </c>
      <c r="C27" s="180">
        <v>2</v>
      </c>
      <c r="D27" s="179">
        <v>2</v>
      </c>
      <c r="E27" s="180">
        <v>2</v>
      </c>
      <c r="F27" s="179">
        <v>2</v>
      </c>
      <c r="G27" s="180">
        <v>4</v>
      </c>
      <c r="H27" s="179">
        <v>4</v>
      </c>
      <c r="I27" s="180">
        <v>4</v>
      </c>
      <c r="J27" s="179">
        <v>4</v>
      </c>
      <c r="K27" s="176">
        <f t="shared" si="0"/>
        <v>92</v>
      </c>
      <c r="L27" s="176" t="str">
        <f t="shared" si="1"/>
        <v>Priority2</v>
      </c>
      <c r="M27" s="444"/>
      <c r="N27" s="449"/>
      <c r="O27" s="438"/>
      <c r="P27" s="435"/>
      <c r="Q27" s="432"/>
      <c r="R27" s="432"/>
      <c r="S27" s="432"/>
      <c r="T27" s="432"/>
      <c r="U27" s="432"/>
      <c r="V27" s="435"/>
      <c r="W27" s="432"/>
      <c r="X27" s="432"/>
      <c r="Y27" s="432"/>
      <c r="Z27" s="432"/>
      <c r="AA27" s="432"/>
      <c r="AB27" s="432"/>
      <c r="AC27" s="432"/>
      <c r="AD27" s="432"/>
      <c r="AE27" s="432"/>
      <c r="AF27" s="432"/>
    </row>
    <row r="28" spans="1:32" ht="19.95" customHeight="1" thickBot="1">
      <c r="A28" s="442"/>
      <c r="B28" s="245" t="s">
        <v>4656</v>
      </c>
      <c r="C28" s="178">
        <v>1</v>
      </c>
      <c r="D28" s="177">
        <v>2</v>
      </c>
      <c r="E28" s="178">
        <v>2</v>
      </c>
      <c r="F28" s="177">
        <v>3</v>
      </c>
      <c r="G28" s="178">
        <v>4</v>
      </c>
      <c r="H28" s="177">
        <v>4</v>
      </c>
      <c r="I28" s="178">
        <v>4</v>
      </c>
      <c r="J28" s="177">
        <v>4</v>
      </c>
      <c r="K28" s="176">
        <f t="shared" si="0"/>
        <v>89</v>
      </c>
      <c r="L28" s="193" t="str">
        <f t="shared" si="1"/>
        <v>Priority2</v>
      </c>
      <c r="M28" s="445"/>
      <c r="N28" s="450"/>
      <c r="O28" s="439"/>
      <c r="P28" s="436"/>
      <c r="Q28" s="433"/>
      <c r="R28" s="433"/>
      <c r="S28" s="433"/>
      <c r="T28" s="433"/>
      <c r="U28" s="433"/>
      <c r="V28" s="436"/>
      <c r="W28" s="433"/>
      <c r="X28" s="433"/>
      <c r="Y28" s="433"/>
      <c r="Z28" s="433"/>
      <c r="AA28" s="433"/>
      <c r="AB28" s="433"/>
      <c r="AC28" s="433"/>
      <c r="AD28" s="433"/>
      <c r="AE28" s="433"/>
      <c r="AF28" s="433"/>
    </row>
  </sheetData>
  <mergeCells count="76">
    <mergeCell ref="Q6:AF6"/>
    <mergeCell ref="C6:L6"/>
    <mergeCell ref="P6:P7"/>
    <mergeCell ref="A15:A21"/>
    <mergeCell ref="M15:M21"/>
    <mergeCell ref="N15:N21"/>
    <mergeCell ref="B6:B7"/>
    <mergeCell ref="A6:A7"/>
    <mergeCell ref="M6:M7"/>
    <mergeCell ref="N6:N7"/>
    <mergeCell ref="P8:P14"/>
    <mergeCell ref="P15:P21"/>
    <mergeCell ref="S8:S14"/>
    <mergeCell ref="T8:T14"/>
    <mergeCell ref="S15:S21"/>
    <mergeCell ref="T15:T21"/>
    <mergeCell ref="A1:AF1"/>
    <mergeCell ref="B3:C3"/>
    <mergeCell ref="F3:J3"/>
    <mergeCell ref="F4:J4"/>
    <mergeCell ref="B4:C4"/>
    <mergeCell ref="O22:O28"/>
    <mergeCell ref="A8:A14"/>
    <mergeCell ref="M8:M14"/>
    <mergeCell ref="O6:O7"/>
    <mergeCell ref="A22:A28"/>
    <mergeCell ref="M22:M28"/>
    <mergeCell ref="N22:N28"/>
    <mergeCell ref="O8:O14"/>
    <mergeCell ref="O15:O21"/>
    <mergeCell ref="N8:N14"/>
    <mergeCell ref="P22:P28"/>
    <mergeCell ref="Q8:Q14"/>
    <mergeCell ref="R8:R14"/>
    <mergeCell ref="Q15:Q21"/>
    <mergeCell ref="R15:R21"/>
    <mergeCell ref="Q22:Q28"/>
    <mergeCell ref="R22:R28"/>
    <mergeCell ref="T22:T28"/>
    <mergeCell ref="S22:S28"/>
    <mergeCell ref="U8:U14"/>
    <mergeCell ref="U15:U21"/>
    <mergeCell ref="U22:U28"/>
    <mergeCell ref="V15:V21"/>
    <mergeCell ref="V8:V14"/>
    <mergeCell ref="V22:V28"/>
    <mergeCell ref="W15:W21"/>
    <mergeCell ref="W8:W14"/>
    <mergeCell ref="W22:W28"/>
    <mergeCell ref="X15:X21"/>
    <mergeCell ref="X8:X14"/>
    <mergeCell ref="X22:X28"/>
    <mergeCell ref="Y15:Y21"/>
    <mergeCell ref="Y8:Y14"/>
    <mergeCell ref="Z8:Z14"/>
    <mergeCell ref="Z15:Z21"/>
    <mergeCell ref="Z22:Z28"/>
    <mergeCell ref="Y22:Y28"/>
    <mergeCell ref="AA8:AA14"/>
    <mergeCell ref="AB8:AB14"/>
    <mergeCell ref="AA15:AA21"/>
    <mergeCell ref="AB15:AB21"/>
    <mergeCell ref="AA22:AA28"/>
    <mergeCell ref="AB22:AB28"/>
    <mergeCell ref="AC8:AC14"/>
    <mergeCell ref="AD8:AD14"/>
    <mergeCell ref="AC15:AC21"/>
    <mergeCell ref="AD15:AD21"/>
    <mergeCell ref="AC22:AC28"/>
    <mergeCell ref="AD22:AD28"/>
    <mergeCell ref="AF8:AF14"/>
    <mergeCell ref="AE8:AE14"/>
    <mergeCell ref="AE15:AE21"/>
    <mergeCell ref="AF15:AF21"/>
    <mergeCell ref="AE22:AE28"/>
    <mergeCell ref="AF22:AF28"/>
  </mergeCells>
  <conditionalFormatting sqref="C8:J28">
    <cfRule type="cellIs" dxfId="6" priority="1" stopIfTrue="1" operator="equal">
      <formula>0</formula>
    </cfRule>
    <cfRule type="containsText" dxfId="5" priority="2" operator="containsText" text="4">
      <formula>NOT(ISERROR(SEARCH("4",C8)))</formula>
    </cfRule>
    <cfRule type="containsText" dxfId="4" priority="3" operator="containsText" text="3">
      <formula>NOT(ISERROR(SEARCH("3",C8)))</formula>
    </cfRule>
    <cfRule type="containsText" dxfId="3" priority="4" operator="containsText" text="2">
      <formula>NOT(ISERROR(SEARCH("2",C8)))</formula>
    </cfRule>
    <cfRule type="containsText" dxfId="2" priority="5" operator="containsText" text="1">
      <formula>NOT(ISERROR(SEARCH("1",C8)))</formula>
    </cfRule>
  </conditionalFormatting>
  <pageMargins left="0.7" right="0.7" top="0.75" bottom="0.75" header="0.3" footer="0.3"/>
  <pageSetup paperSize="9" orientation="landscape" horizontalDpi="300" verticalDpi="3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6"/>
  <sheetViews>
    <sheetView zoomScale="110" zoomScaleNormal="110" workbookViewId="0">
      <selection activeCell="A14" sqref="A14"/>
    </sheetView>
  </sheetViews>
  <sheetFormatPr defaultRowHeight="14.4"/>
  <cols>
    <col min="1" max="1" width="18.33203125" customWidth="1"/>
    <col min="2" max="2" width="22.6640625" customWidth="1"/>
    <col min="3" max="13" width="4.6640625" customWidth="1"/>
  </cols>
  <sheetData>
    <row r="1" spans="1:16" ht="20.399999999999999">
      <c r="A1" s="452" t="s">
        <v>4609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</row>
    <row r="2" spans="1:16" ht="9.6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15.6">
      <c r="A3" s="144" t="s">
        <v>4577</v>
      </c>
      <c r="B3" s="453" t="e">
        <f>#REF!</f>
        <v>#REF!</v>
      </c>
      <c r="C3" s="453"/>
      <c r="D3" s="17" t="s">
        <v>4583</v>
      </c>
      <c r="F3" s="453" t="e">
        <f>#REF!</f>
        <v>#REF!</v>
      </c>
      <c r="G3" s="453"/>
      <c r="H3" s="453"/>
      <c r="I3" s="453"/>
      <c r="J3" s="453"/>
      <c r="K3" s="453"/>
      <c r="L3" s="453"/>
      <c r="M3" s="453"/>
      <c r="N3" s="17" t="s">
        <v>4579</v>
      </c>
      <c r="O3" s="133" t="e">
        <f>#REF!</f>
        <v>#REF!</v>
      </c>
    </row>
    <row r="4" spans="1:16" ht="15.6">
      <c r="A4" s="144" t="s">
        <v>4580</v>
      </c>
      <c r="B4" s="454" t="e">
        <f>#REF!</f>
        <v>#REF!</v>
      </c>
      <c r="C4" s="454"/>
      <c r="D4" s="17" t="s">
        <v>4584</v>
      </c>
      <c r="E4" s="17"/>
      <c r="F4" s="454" t="e">
        <f>#REF!</f>
        <v>#REF!</v>
      </c>
      <c r="G4" s="454"/>
      <c r="H4" s="454"/>
      <c r="I4" s="454"/>
      <c r="J4" s="454"/>
      <c r="K4" s="454"/>
      <c r="L4" s="454"/>
      <c r="M4" s="454"/>
      <c r="N4" s="17" t="s">
        <v>4582</v>
      </c>
      <c r="O4" s="20" t="e">
        <f>#REF!</f>
        <v>#REF!</v>
      </c>
    </row>
    <row r="6" spans="1:16" ht="15" customHeight="1">
      <c r="A6" s="470" t="s">
        <v>4661</v>
      </c>
      <c r="B6" s="470" t="s">
        <v>4611</v>
      </c>
      <c r="C6" s="469" t="s">
        <v>4612</v>
      </c>
      <c r="D6" s="469"/>
      <c r="E6" s="469"/>
      <c r="F6" s="469"/>
      <c r="G6" s="469"/>
      <c r="H6" s="469"/>
      <c r="I6" s="469"/>
      <c r="J6" s="469"/>
      <c r="K6" s="469"/>
      <c r="L6" s="469"/>
      <c r="M6" s="469"/>
      <c r="N6" s="469" t="s">
        <v>4613</v>
      </c>
      <c r="O6" s="469" t="s">
        <v>4614</v>
      </c>
      <c r="P6" s="469" t="s">
        <v>4615</v>
      </c>
    </row>
    <row r="7" spans="1:16" ht="69" customHeight="1">
      <c r="A7" s="470"/>
      <c r="B7" s="470"/>
      <c r="C7" s="14" t="s">
        <v>4618</v>
      </c>
      <c r="D7" s="14" t="s">
        <v>4619</v>
      </c>
      <c r="E7" s="14" t="s">
        <v>4620</v>
      </c>
      <c r="F7" s="14" t="s">
        <v>4621</v>
      </c>
      <c r="G7" s="14" t="s">
        <v>4622</v>
      </c>
      <c r="H7" s="14" t="s">
        <v>4623</v>
      </c>
      <c r="I7" s="14" t="s">
        <v>4679</v>
      </c>
      <c r="J7" s="14" t="s">
        <v>4669</v>
      </c>
      <c r="K7" s="14" t="s">
        <v>4624</v>
      </c>
      <c r="L7" s="14" t="s">
        <v>4686</v>
      </c>
      <c r="M7" s="14" t="s">
        <v>4625</v>
      </c>
      <c r="N7" s="469"/>
      <c r="O7" s="469"/>
      <c r="P7" s="469"/>
    </row>
    <row r="8" spans="1:16" ht="22.8">
      <c r="A8" s="143" t="s">
        <v>4587</v>
      </c>
      <c r="B8" s="147" t="s">
        <v>4557</v>
      </c>
      <c r="C8" s="139">
        <v>1</v>
      </c>
      <c r="D8" s="139">
        <v>1</v>
      </c>
      <c r="E8" s="15">
        <v>1</v>
      </c>
      <c r="F8" s="15">
        <v>1</v>
      </c>
      <c r="G8" s="15">
        <v>4</v>
      </c>
      <c r="H8" s="15">
        <v>4</v>
      </c>
      <c r="I8" s="15">
        <v>4</v>
      </c>
      <c r="J8" s="15">
        <v>4</v>
      </c>
      <c r="K8" s="15">
        <v>4</v>
      </c>
      <c r="L8" s="139">
        <v>4</v>
      </c>
      <c r="M8" s="139">
        <v>4</v>
      </c>
      <c r="N8" s="139" t="s">
        <v>4687</v>
      </c>
      <c r="O8" s="148" t="s">
        <v>4688</v>
      </c>
      <c r="P8" s="149">
        <v>1</v>
      </c>
    </row>
    <row r="9" spans="1:16" ht="30">
      <c r="A9" s="150" t="s">
        <v>4590</v>
      </c>
      <c r="B9" s="147" t="s">
        <v>4557</v>
      </c>
      <c r="C9" s="139">
        <v>1</v>
      </c>
      <c r="D9" s="139">
        <v>1</v>
      </c>
      <c r="E9" s="15">
        <v>1</v>
      </c>
      <c r="F9" s="15">
        <v>1</v>
      </c>
      <c r="G9" s="15">
        <v>4</v>
      </c>
      <c r="H9" s="15">
        <v>4</v>
      </c>
      <c r="I9" s="15">
        <v>4</v>
      </c>
      <c r="J9" s="15">
        <v>4</v>
      </c>
      <c r="K9" s="15">
        <v>4</v>
      </c>
      <c r="L9" s="139">
        <v>4</v>
      </c>
      <c r="M9" s="139">
        <v>4</v>
      </c>
      <c r="N9" s="139" t="s">
        <v>4687</v>
      </c>
      <c r="O9" s="148" t="s">
        <v>4688</v>
      </c>
      <c r="P9" s="149">
        <v>1</v>
      </c>
    </row>
    <row r="10" spans="1:16" ht="22.8">
      <c r="A10" s="143" t="s">
        <v>4592</v>
      </c>
      <c r="B10" s="147" t="s">
        <v>4557</v>
      </c>
      <c r="C10" s="139">
        <v>1</v>
      </c>
      <c r="D10" s="139">
        <v>1</v>
      </c>
      <c r="E10" s="15">
        <v>1</v>
      </c>
      <c r="F10" s="15">
        <v>1</v>
      </c>
      <c r="G10" s="15">
        <v>4</v>
      </c>
      <c r="H10" s="15">
        <v>4</v>
      </c>
      <c r="I10" s="15">
        <v>4</v>
      </c>
      <c r="J10" s="15">
        <v>4</v>
      </c>
      <c r="K10" s="15">
        <v>4</v>
      </c>
      <c r="L10" s="139">
        <v>4</v>
      </c>
      <c r="M10" s="139">
        <v>4</v>
      </c>
      <c r="N10" s="139" t="s">
        <v>4687</v>
      </c>
      <c r="O10" s="148" t="s">
        <v>4688</v>
      </c>
      <c r="P10" s="149">
        <v>1</v>
      </c>
    </row>
    <row r="11" spans="1:16" ht="22.8">
      <c r="A11" s="143" t="s">
        <v>4593</v>
      </c>
      <c r="B11" s="147" t="s">
        <v>4557</v>
      </c>
      <c r="C11" s="139">
        <v>1</v>
      </c>
      <c r="D11" s="139">
        <v>1</v>
      </c>
      <c r="E11" s="15">
        <v>1</v>
      </c>
      <c r="F11" s="15">
        <v>1</v>
      </c>
      <c r="G11" s="15">
        <v>2</v>
      </c>
      <c r="H11" s="15">
        <v>4</v>
      </c>
      <c r="I11" s="15">
        <v>4</v>
      </c>
      <c r="J11" s="15">
        <v>4</v>
      </c>
      <c r="K11" s="15">
        <v>4</v>
      </c>
      <c r="L11" s="139">
        <v>4</v>
      </c>
      <c r="M11" s="139">
        <v>4</v>
      </c>
      <c r="N11" s="139" t="s">
        <v>4689</v>
      </c>
      <c r="O11" s="148" t="s">
        <v>4688</v>
      </c>
      <c r="P11" s="149">
        <v>1</v>
      </c>
    </row>
    <row r="12" spans="1:16" ht="31.2">
      <c r="A12" s="143" t="s">
        <v>4594</v>
      </c>
      <c r="B12" s="147" t="s">
        <v>4557</v>
      </c>
      <c r="C12" s="139">
        <v>1</v>
      </c>
      <c r="D12" s="139">
        <v>1</v>
      </c>
      <c r="E12" s="15">
        <v>1</v>
      </c>
      <c r="F12" s="15">
        <v>1</v>
      </c>
      <c r="G12" s="15">
        <v>2</v>
      </c>
      <c r="H12" s="15">
        <v>4</v>
      </c>
      <c r="I12" s="15">
        <v>4</v>
      </c>
      <c r="J12" s="15">
        <v>4</v>
      </c>
      <c r="K12" s="15">
        <v>4</v>
      </c>
      <c r="L12" s="139">
        <v>4</v>
      </c>
      <c r="M12" s="139">
        <v>4</v>
      </c>
      <c r="N12" s="148" t="s">
        <v>4689</v>
      </c>
      <c r="O12" s="139" t="s">
        <v>4688</v>
      </c>
      <c r="P12" s="149">
        <v>1</v>
      </c>
    </row>
    <row r="13" spans="1:16" ht="31.2">
      <c r="A13" s="143" t="s">
        <v>4595</v>
      </c>
      <c r="B13" s="147" t="s">
        <v>4557</v>
      </c>
      <c r="C13" s="139">
        <v>1</v>
      </c>
      <c r="D13" s="139">
        <v>1</v>
      </c>
      <c r="E13" s="15">
        <v>1</v>
      </c>
      <c r="F13" s="15">
        <v>1</v>
      </c>
      <c r="G13" s="15">
        <v>2</v>
      </c>
      <c r="H13" s="15">
        <v>4</v>
      </c>
      <c r="I13" s="15">
        <v>4</v>
      </c>
      <c r="J13" s="15">
        <v>4</v>
      </c>
      <c r="K13" s="15">
        <v>4</v>
      </c>
      <c r="L13" s="139">
        <v>4</v>
      </c>
      <c r="M13" s="139">
        <v>4</v>
      </c>
      <c r="N13" s="139" t="s">
        <v>4687</v>
      </c>
      <c r="O13" s="148" t="s">
        <v>4688</v>
      </c>
      <c r="P13" s="149">
        <v>1</v>
      </c>
    </row>
    <row r="14" spans="1:16" ht="31.2">
      <c r="A14" s="143" t="s">
        <v>4596</v>
      </c>
      <c r="B14" s="147" t="s">
        <v>4557</v>
      </c>
      <c r="C14" s="139">
        <v>2</v>
      </c>
      <c r="D14" s="139">
        <v>2</v>
      </c>
      <c r="E14" s="139">
        <v>2</v>
      </c>
      <c r="F14" s="139">
        <v>2</v>
      </c>
      <c r="G14" s="15">
        <v>3</v>
      </c>
      <c r="H14" s="15">
        <v>3</v>
      </c>
      <c r="I14" s="15">
        <v>3</v>
      </c>
      <c r="J14" s="15">
        <v>4</v>
      </c>
      <c r="K14" s="15">
        <v>4</v>
      </c>
      <c r="L14" s="15">
        <v>4</v>
      </c>
      <c r="M14" s="15">
        <v>4</v>
      </c>
      <c r="N14" s="175" t="s">
        <v>4690</v>
      </c>
      <c r="O14" s="175" t="s">
        <v>4690</v>
      </c>
      <c r="P14" s="152">
        <v>1</v>
      </c>
    </row>
    <row r="15" spans="1:16" ht="22.8">
      <c r="A15" s="143" t="s">
        <v>4597</v>
      </c>
      <c r="B15" s="147" t="s">
        <v>4557</v>
      </c>
      <c r="C15" s="15">
        <v>2</v>
      </c>
      <c r="D15" s="15">
        <v>2</v>
      </c>
      <c r="E15" s="15">
        <v>2</v>
      </c>
      <c r="F15" s="15">
        <v>2</v>
      </c>
      <c r="G15" s="15">
        <v>3</v>
      </c>
      <c r="H15" s="15">
        <v>3</v>
      </c>
      <c r="I15" s="15">
        <v>3</v>
      </c>
      <c r="J15" s="15">
        <v>4</v>
      </c>
      <c r="K15" s="15">
        <v>4</v>
      </c>
      <c r="L15" s="15">
        <v>4</v>
      </c>
      <c r="M15" s="15">
        <v>4</v>
      </c>
      <c r="N15" s="139" t="s">
        <v>4690</v>
      </c>
      <c r="O15" s="139" t="s">
        <v>4690</v>
      </c>
      <c r="P15" s="149">
        <v>1</v>
      </c>
    </row>
    <row r="16" spans="1:16" ht="46.8">
      <c r="A16" s="143" t="s">
        <v>4598</v>
      </c>
      <c r="B16" s="147" t="s">
        <v>4557</v>
      </c>
      <c r="C16" s="15">
        <v>2</v>
      </c>
      <c r="D16" s="15">
        <v>2</v>
      </c>
      <c r="E16" s="15">
        <v>2</v>
      </c>
      <c r="F16" s="15">
        <v>2</v>
      </c>
      <c r="G16" s="15">
        <v>3</v>
      </c>
      <c r="H16" s="15">
        <v>3</v>
      </c>
      <c r="I16" s="15">
        <v>3</v>
      </c>
      <c r="J16" s="15">
        <v>4</v>
      </c>
      <c r="K16" s="15">
        <v>4</v>
      </c>
      <c r="L16" s="15">
        <v>4</v>
      </c>
      <c r="M16" s="15">
        <v>4</v>
      </c>
      <c r="N16" s="139" t="s">
        <v>4690</v>
      </c>
      <c r="O16" s="139" t="s">
        <v>4690</v>
      </c>
      <c r="P16" s="149">
        <v>1</v>
      </c>
    </row>
    <row r="17" spans="1:16" ht="31.2">
      <c r="A17" s="143" t="s">
        <v>4599</v>
      </c>
      <c r="B17" s="147" t="s">
        <v>4557</v>
      </c>
      <c r="C17" s="139">
        <v>2</v>
      </c>
      <c r="D17" s="139">
        <v>2</v>
      </c>
      <c r="E17" s="139">
        <v>2</v>
      </c>
      <c r="F17" s="139">
        <v>2</v>
      </c>
      <c r="G17" s="15">
        <v>3</v>
      </c>
      <c r="H17" s="15">
        <v>3</v>
      </c>
      <c r="I17" s="15">
        <v>3</v>
      </c>
      <c r="J17" s="15">
        <v>4</v>
      </c>
      <c r="K17" s="15">
        <v>4</v>
      </c>
      <c r="L17" s="15">
        <v>4</v>
      </c>
      <c r="M17" s="15">
        <v>4</v>
      </c>
      <c r="N17" s="139" t="s">
        <v>4690</v>
      </c>
      <c r="O17" s="148" t="s">
        <v>4690</v>
      </c>
      <c r="P17" s="149">
        <v>1</v>
      </c>
    </row>
    <row r="18" spans="1:16" ht="31.2">
      <c r="A18" s="143" t="s">
        <v>4600</v>
      </c>
      <c r="B18" s="147" t="s">
        <v>4557</v>
      </c>
      <c r="C18" s="15">
        <v>2</v>
      </c>
      <c r="D18" s="15">
        <v>2</v>
      </c>
      <c r="E18" s="15">
        <v>2</v>
      </c>
      <c r="F18" s="15">
        <v>2</v>
      </c>
      <c r="G18" s="15">
        <v>3</v>
      </c>
      <c r="H18" s="15">
        <v>3</v>
      </c>
      <c r="I18" s="15">
        <v>3</v>
      </c>
      <c r="J18" s="15">
        <v>4</v>
      </c>
      <c r="K18" s="15">
        <v>4</v>
      </c>
      <c r="L18" s="15">
        <v>4</v>
      </c>
      <c r="M18" s="15">
        <v>4</v>
      </c>
      <c r="N18" s="139" t="s">
        <v>4690</v>
      </c>
      <c r="O18" s="139" t="s">
        <v>4690</v>
      </c>
      <c r="P18" s="149">
        <v>1</v>
      </c>
    </row>
    <row r="19" spans="1:16" ht="22.8">
      <c r="A19" s="143" t="s">
        <v>4601</v>
      </c>
      <c r="B19" s="147" t="s">
        <v>4557</v>
      </c>
      <c r="C19" s="15">
        <v>2</v>
      </c>
      <c r="D19" s="15">
        <v>2</v>
      </c>
      <c r="E19" s="15">
        <v>2</v>
      </c>
      <c r="F19" s="15">
        <v>2</v>
      </c>
      <c r="G19" s="15">
        <v>3</v>
      </c>
      <c r="H19" s="15">
        <v>3</v>
      </c>
      <c r="I19" s="15">
        <v>3</v>
      </c>
      <c r="J19" s="15">
        <v>4</v>
      </c>
      <c r="K19" s="15">
        <v>4</v>
      </c>
      <c r="L19" s="15">
        <v>4</v>
      </c>
      <c r="M19" s="15">
        <v>4</v>
      </c>
      <c r="N19" s="148" t="s">
        <v>4691</v>
      </c>
      <c r="O19" s="148" t="s">
        <v>4691</v>
      </c>
      <c r="P19" s="149">
        <v>1</v>
      </c>
    </row>
    <row r="20" spans="1:16" ht="31.2">
      <c r="A20" s="143" t="s">
        <v>4602</v>
      </c>
      <c r="B20" s="147" t="s">
        <v>4557</v>
      </c>
      <c r="C20" s="15">
        <v>2</v>
      </c>
      <c r="D20" s="15">
        <v>2</v>
      </c>
      <c r="E20" s="15">
        <v>2</v>
      </c>
      <c r="F20" s="15">
        <v>2</v>
      </c>
      <c r="G20" s="15">
        <v>3</v>
      </c>
      <c r="H20" s="15">
        <v>3</v>
      </c>
      <c r="I20" s="15">
        <v>3</v>
      </c>
      <c r="J20" s="15">
        <v>4</v>
      </c>
      <c r="K20" s="15">
        <v>4</v>
      </c>
      <c r="L20" s="15">
        <v>4</v>
      </c>
      <c r="M20" s="15">
        <v>4</v>
      </c>
      <c r="N20" s="153" t="s">
        <v>4690</v>
      </c>
      <c r="O20" s="153" t="s">
        <v>4690</v>
      </c>
      <c r="P20" s="149">
        <v>1</v>
      </c>
    </row>
    <row r="21" spans="1:16" ht="31.2">
      <c r="A21" s="143" t="s">
        <v>4603</v>
      </c>
      <c r="B21" s="147" t="s">
        <v>4557</v>
      </c>
      <c r="C21" s="139">
        <v>2</v>
      </c>
      <c r="D21" s="139">
        <v>2</v>
      </c>
      <c r="E21" s="139">
        <v>2</v>
      </c>
      <c r="F21" s="139">
        <v>2</v>
      </c>
      <c r="G21" s="15">
        <v>3</v>
      </c>
      <c r="H21" s="15">
        <v>3</v>
      </c>
      <c r="I21" s="15">
        <v>3</v>
      </c>
      <c r="J21" s="15">
        <v>4</v>
      </c>
      <c r="K21" s="15">
        <v>4</v>
      </c>
      <c r="L21" s="15">
        <v>4</v>
      </c>
      <c r="M21" s="15">
        <v>4</v>
      </c>
      <c r="N21" s="153" t="s">
        <v>4690</v>
      </c>
      <c r="O21" s="153" t="s">
        <v>4690</v>
      </c>
      <c r="P21" s="149">
        <v>1</v>
      </c>
    </row>
    <row r="22" spans="1:16" ht="31.2">
      <c r="A22" s="143" t="s">
        <v>4604</v>
      </c>
      <c r="B22" s="147" t="s">
        <v>4557</v>
      </c>
      <c r="C22" s="139">
        <v>2</v>
      </c>
      <c r="D22" s="139">
        <v>2</v>
      </c>
      <c r="E22" s="139">
        <v>2</v>
      </c>
      <c r="F22" s="139">
        <v>2</v>
      </c>
      <c r="G22" s="15">
        <v>3</v>
      </c>
      <c r="H22" s="15">
        <v>4</v>
      </c>
      <c r="I22" s="15">
        <v>4</v>
      </c>
      <c r="J22" s="15">
        <v>4</v>
      </c>
      <c r="K22" s="15">
        <v>4</v>
      </c>
      <c r="L22" s="15">
        <v>4</v>
      </c>
      <c r="M22" s="15">
        <v>4</v>
      </c>
      <c r="N22" s="153" t="s">
        <v>4692</v>
      </c>
      <c r="O22" s="153" t="s">
        <v>4692</v>
      </c>
      <c r="P22" s="149">
        <v>1</v>
      </c>
    </row>
    <row r="23" spans="1:16" ht="46.8">
      <c r="A23" s="143" t="s">
        <v>4605</v>
      </c>
      <c r="B23" s="147" t="s">
        <v>4557</v>
      </c>
      <c r="C23" s="139">
        <v>1</v>
      </c>
      <c r="D23" s="139">
        <v>2</v>
      </c>
      <c r="E23" s="139">
        <v>2</v>
      </c>
      <c r="F23" s="139">
        <v>2</v>
      </c>
      <c r="G23" s="139">
        <v>2</v>
      </c>
      <c r="H23" s="139">
        <v>3</v>
      </c>
      <c r="I23" s="139">
        <v>3</v>
      </c>
      <c r="J23" s="15">
        <v>4</v>
      </c>
      <c r="K23" s="15">
        <v>4</v>
      </c>
      <c r="L23" s="15">
        <v>4</v>
      </c>
      <c r="M23" s="139">
        <v>4</v>
      </c>
      <c r="N23" s="148" t="s">
        <v>4690</v>
      </c>
      <c r="O23" s="153" t="s">
        <v>4690</v>
      </c>
      <c r="P23" s="149">
        <v>1</v>
      </c>
    </row>
    <row r="24" spans="1:16" ht="31.2">
      <c r="A24" s="143" t="s">
        <v>4606</v>
      </c>
      <c r="B24" s="147" t="s">
        <v>4557</v>
      </c>
      <c r="C24" s="139">
        <v>1</v>
      </c>
      <c r="D24" s="139">
        <v>2</v>
      </c>
      <c r="E24" s="139">
        <v>2</v>
      </c>
      <c r="F24" s="139">
        <v>2</v>
      </c>
      <c r="G24" s="139">
        <v>2</v>
      </c>
      <c r="H24" s="139">
        <v>3</v>
      </c>
      <c r="I24" s="139">
        <v>3</v>
      </c>
      <c r="J24" s="139">
        <v>3</v>
      </c>
      <c r="K24" s="139">
        <v>3</v>
      </c>
      <c r="L24" s="139">
        <v>3</v>
      </c>
      <c r="M24" s="15">
        <v>4</v>
      </c>
      <c r="N24" s="151" t="s">
        <v>4693</v>
      </c>
      <c r="O24" s="151" t="s">
        <v>4693</v>
      </c>
      <c r="P24" s="152">
        <v>1</v>
      </c>
    </row>
    <row r="25" spans="1:16" ht="31.2">
      <c r="A25" s="143" t="s">
        <v>4607</v>
      </c>
      <c r="B25" s="147" t="s">
        <v>4557</v>
      </c>
      <c r="C25" s="139">
        <v>1</v>
      </c>
      <c r="D25" s="139">
        <v>1</v>
      </c>
      <c r="E25" s="15">
        <v>1</v>
      </c>
      <c r="F25" s="15">
        <v>1</v>
      </c>
      <c r="G25" s="15">
        <v>4</v>
      </c>
      <c r="H25" s="15">
        <v>4</v>
      </c>
      <c r="I25" s="15">
        <v>4</v>
      </c>
      <c r="J25" s="15">
        <v>4</v>
      </c>
      <c r="K25" s="15">
        <v>4</v>
      </c>
      <c r="L25" s="139">
        <v>4</v>
      </c>
      <c r="M25" s="139">
        <v>4</v>
      </c>
      <c r="N25" s="139" t="s">
        <v>4687</v>
      </c>
      <c r="O25" s="148" t="s">
        <v>4688</v>
      </c>
      <c r="P25" s="149">
        <v>1</v>
      </c>
    </row>
    <row r="26" spans="1:16" ht="31.2">
      <c r="A26" s="143" t="s">
        <v>4608</v>
      </c>
      <c r="B26" s="147" t="s">
        <v>4557</v>
      </c>
      <c r="C26" s="139">
        <v>1</v>
      </c>
      <c r="D26" s="139">
        <v>2</v>
      </c>
      <c r="E26" s="139">
        <v>2</v>
      </c>
      <c r="F26" s="139">
        <v>2</v>
      </c>
      <c r="G26" s="139">
        <v>2</v>
      </c>
      <c r="H26" s="139">
        <v>3</v>
      </c>
      <c r="I26" s="139">
        <v>3</v>
      </c>
      <c r="J26" s="139">
        <v>3</v>
      </c>
      <c r="K26" s="139">
        <v>3</v>
      </c>
      <c r="L26" s="139">
        <v>3</v>
      </c>
      <c r="M26" s="15">
        <v>4</v>
      </c>
      <c r="N26" s="151" t="s">
        <v>4694</v>
      </c>
      <c r="O26" s="151" t="s">
        <v>4694</v>
      </c>
      <c r="P26" s="152">
        <v>1</v>
      </c>
    </row>
  </sheetData>
  <mergeCells count="11">
    <mergeCell ref="N6:N7"/>
    <mergeCell ref="O6:O7"/>
    <mergeCell ref="A1:P1"/>
    <mergeCell ref="B3:C3"/>
    <mergeCell ref="F3:M3"/>
    <mergeCell ref="B4:C4"/>
    <mergeCell ref="F4:M4"/>
    <mergeCell ref="P6:P7"/>
    <mergeCell ref="A6:A7"/>
    <mergeCell ref="B6:B7"/>
    <mergeCell ref="C6:M6"/>
  </mergeCells>
  <conditionalFormatting sqref="C8:M26">
    <cfRule type="cellIs" dxfId="1" priority="1" operator="greaterThan">
      <formula>3</formula>
    </cfRule>
  </conditionalFormatting>
  <dataValidations count="2">
    <dataValidation type="list" showInputMessage="1" showErrorMessage="1" sqref="C8:M26" xr:uid="{00000000-0002-0000-0700-000000000000}">
      <formula1>"1,2,3,4,5"</formula1>
    </dataValidation>
    <dataValidation type="list" allowBlank="1" showInputMessage="1" showErrorMessage="1" sqref="A8:A26" xr:uid="{00000000-0002-0000-0700-000001000000}">
      <formula1>#REF!</formula1>
    </dataValidation>
  </dataValidations>
  <pageMargins left="0.7" right="0.7" top="0.75" bottom="0.75" header="0.3" footer="0.3"/>
  <pageSetup paperSize="9" orientation="landscape" horizontalDpi="300" verticalDpi="3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Data1!$A$76:$A$82</xm:f>
          </x14:formula1>
          <xm:sqref>B8:B26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0.39997558519241921"/>
  </sheetPr>
  <dimension ref="A1:P16"/>
  <sheetViews>
    <sheetView topLeftCell="A7" zoomScale="90" zoomScaleNormal="90" workbookViewId="0">
      <selection activeCell="N10" sqref="N10"/>
    </sheetView>
  </sheetViews>
  <sheetFormatPr defaultColWidth="9" defaultRowHeight="14.4"/>
  <cols>
    <col min="1" max="1" width="18.33203125" style="162" customWidth="1"/>
    <col min="2" max="2" width="22.6640625" style="162" customWidth="1"/>
    <col min="3" max="13" width="4.6640625" style="162" customWidth="1"/>
    <col min="14" max="16384" width="9" style="162"/>
  </cols>
  <sheetData>
    <row r="1" spans="1:16" ht="20.399999999999999">
      <c r="A1" s="472" t="s">
        <v>4609</v>
      </c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  <c r="N1" s="472"/>
      <c r="O1" s="472"/>
      <c r="P1" s="472"/>
    </row>
    <row r="2" spans="1:16" ht="9.6" customHeight="1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</row>
    <row r="3" spans="1:16" ht="15.6">
      <c r="A3" s="164" t="s">
        <v>4577</v>
      </c>
      <c r="B3" s="473" t="str">
        <f>'1.2 Plant incident '!B3</f>
        <v>OCOT/OC1M</v>
      </c>
      <c r="C3" s="473"/>
      <c r="D3" s="164" t="s">
        <v>4583</v>
      </c>
      <c r="F3" s="473" t="str">
        <f>'1.2 Plant incident '!B5</f>
        <v>ส่วนปฏิบัติการผลิต  CUP1</v>
      </c>
      <c r="G3" s="473"/>
      <c r="H3" s="473"/>
      <c r="I3" s="473"/>
      <c r="J3" s="473"/>
      <c r="K3" s="473"/>
      <c r="L3" s="473"/>
      <c r="M3" s="473"/>
      <c r="N3" s="164" t="s">
        <v>4579</v>
      </c>
      <c r="O3" s="165" t="str">
        <f>'1.2 Plant incident '!D3</f>
        <v>28/09/2565</v>
      </c>
    </row>
    <row r="4" spans="1:16" ht="15.6">
      <c r="A4" s="164" t="s">
        <v>4580</v>
      </c>
      <c r="B4" s="474" t="str">
        <f>'1.2 Plant incident '!B4</f>
        <v>ประเมินแบบพื้นที่</v>
      </c>
      <c r="C4" s="474"/>
      <c r="D4" s="164" t="s">
        <v>4584</v>
      </c>
      <c r="E4" s="164"/>
      <c r="F4" s="474" t="str">
        <f>'1.2 Plant incident '!B6</f>
        <v>GPSC RYG : CUP-1</v>
      </c>
      <c r="G4" s="474"/>
      <c r="H4" s="474"/>
      <c r="I4" s="474"/>
      <c r="J4" s="474"/>
      <c r="K4" s="474"/>
      <c r="L4" s="474"/>
      <c r="M4" s="474"/>
      <c r="N4" s="164" t="s">
        <v>4582</v>
      </c>
      <c r="O4" s="156">
        <f>'1.2 Plant incident '!D4</f>
        <v>4</v>
      </c>
    </row>
    <row r="5" spans="1:16" ht="15" thickBot="1"/>
    <row r="6" spans="1:16" ht="15" customHeight="1">
      <c r="A6" s="465" t="s">
        <v>4800</v>
      </c>
      <c r="B6" s="463" t="s">
        <v>4611</v>
      </c>
      <c r="C6" s="477" t="s">
        <v>4612</v>
      </c>
      <c r="D6" s="478"/>
      <c r="E6" s="478"/>
      <c r="F6" s="478"/>
      <c r="G6" s="478"/>
      <c r="H6" s="478"/>
      <c r="I6" s="478"/>
      <c r="J6" s="478"/>
      <c r="K6" s="478"/>
      <c r="L6" s="478"/>
      <c r="M6" s="479"/>
      <c r="N6" s="467" t="s">
        <v>4613</v>
      </c>
      <c r="O6" s="467" t="s">
        <v>4614</v>
      </c>
      <c r="P6" s="446" t="s">
        <v>4615</v>
      </c>
    </row>
    <row r="7" spans="1:16" ht="69" customHeight="1">
      <c r="A7" s="475"/>
      <c r="B7" s="476"/>
      <c r="C7" s="140" t="s">
        <v>4618</v>
      </c>
      <c r="D7" s="14" t="s">
        <v>4619</v>
      </c>
      <c r="E7" s="14" t="s">
        <v>4620</v>
      </c>
      <c r="F7" s="14" t="s">
        <v>4621</v>
      </c>
      <c r="G7" s="14" t="s">
        <v>4622</v>
      </c>
      <c r="H7" s="14" t="s">
        <v>4623</v>
      </c>
      <c r="I7" s="14" t="s">
        <v>4679</v>
      </c>
      <c r="J7" s="14" t="s">
        <v>4669</v>
      </c>
      <c r="K7" s="14" t="s">
        <v>4624</v>
      </c>
      <c r="L7" s="14" t="s">
        <v>4686</v>
      </c>
      <c r="M7" s="141" t="s">
        <v>4625</v>
      </c>
      <c r="N7" s="480"/>
      <c r="O7" s="480"/>
      <c r="P7" s="471"/>
    </row>
    <row r="8" spans="1:16" ht="34.799999999999997">
      <c r="A8" s="159" t="s">
        <v>4755</v>
      </c>
      <c r="B8" s="166" t="s">
        <v>4551</v>
      </c>
      <c r="C8" s="167">
        <v>3</v>
      </c>
      <c r="D8" s="148">
        <v>3</v>
      </c>
      <c r="E8" s="168">
        <v>3</v>
      </c>
      <c r="F8" s="168">
        <v>3</v>
      </c>
      <c r="G8" s="168">
        <v>4</v>
      </c>
      <c r="H8" s="168">
        <v>4</v>
      </c>
      <c r="I8" s="168">
        <v>4</v>
      </c>
      <c r="J8" s="168">
        <v>4</v>
      </c>
      <c r="K8" s="168">
        <v>4</v>
      </c>
      <c r="L8" s="148">
        <v>4</v>
      </c>
      <c r="M8" s="169">
        <v>4</v>
      </c>
      <c r="N8" s="146" t="s">
        <v>4687</v>
      </c>
      <c r="O8" s="146" t="s">
        <v>4688</v>
      </c>
      <c r="P8" s="170">
        <v>1</v>
      </c>
    </row>
    <row r="9" spans="1:16" ht="87">
      <c r="A9" s="159" t="s">
        <v>4781</v>
      </c>
      <c r="B9" s="166" t="s">
        <v>4549</v>
      </c>
      <c r="C9" s="167">
        <v>2</v>
      </c>
      <c r="D9" s="148">
        <v>2</v>
      </c>
      <c r="E9" s="168">
        <v>3</v>
      </c>
      <c r="F9" s="168">
        <v>3</v>
      </c>
      <c r="G9" s="168">
        <v>4</v>
      </c>
      <c r="H9" s="168">
        <v>4</v>
      </c>
      <c r="I9" s="168">
        <v>4</v>
      </c>
      <c r="J9" s="168">
        <v>4</v>
      </c>
      <c r="K9" s="168">
        <v>4</v>
      </c>
      <c r="L9" s="148">
        <v>4</v>
      </c>
      <c r="M9" s="169">
        <v>4</v>
      </c>
      <c r="N9" s="146" t="s">
        <v>4687</v>
      </c>
      <c r="O9" s="146" t="s">
        <v>4688</v>
      </c>
      <c r="P9" s="170">
        <v>1</v>
      </c>
    </row>
    <row r="10" spans="1:16" ht="87">
      <c r="A10" s="159" t="s">
        <v>4758</v>
      </c>
      <c r="B10" s="166" t="s">
        <v>4549</v>
      </c>
      <c r="C10" s="167">
        <v>2</v>
      </c>
      <c r="D10" s="148">
        <v>2</v>
      </c>
      <c r="E10" s="168">
        <v>3</v>
      </c>
      <c r="F10" s="168">
        <v>3</v>
      </c>
      <c r="G10" s="168">
        <v>4</v>
      </c>
      <c r="H10" s="168">
        <v>4</v>
      </c>
      <c r="I10" s="168">
        <v>4</v>
      </c>
      <c r="J10" s="168">
        <v>4</v>
      </c>
      <c r="K10" s="168">
        <v>4</v>
      </c>
      <c r="L10" s="148">
        <v>4</v>
      </c>
      <c r="M10" s="169">
        <v>4</v>
      </c>
      <c r="N10" s="146" t="s">
        <v>4687</v>
      </c>
      <c r="O10" s="146" t="s">
        <v>4688</v>
      </c>
      <c r="P10" s="170">
        <v>1</v>
      </c>
    </row>
    <row r="11" spans="1:16" ht="52.2">
      <c r="A11" s="159" t="s">
        <v>4759</v>
      </c>
      <c r="B11" s="166" t="s">
        <v>4549</v>
      </c>
      <c r="C11" s="167">
        <v>2</v>
      </c>
      <c r="D11" s="148">
        <v>2</v>
      </c>
      <c r="E11" s="168">
        <v>3</v>
      </c>
      <c r="F11" s="148">
        <v>3</v>
      </c>
      <c r="G11" s="168">
        <v>4</v>
      </c>
      <c r="H11" s="168">
        <v>4</v>
      </c>
      <c r="I11" s="168">
        <v>4</v>
      </c>
      <c r="J11" s="168">
        <v>4</v>
      </c>
      <c r="K11" s="168">
        <v>4</v>
      </c>
      <c r="L11" s="148">
        <v>4</v>
      </c>
      <c r="M11" s="169">
        <v>4</v>
      </c>
      <c r="N11" s="146" t="s">
        <v>4687</v>
      </c>
      <c r="O11" s="146" t="s">
        <v>4801</v>
      </c>
      <c r="P11" s="170">
        <v>1</v>
      </c>
    </row>
    <row r="12" spans="1:16" ht="52.2">
      <c r="A12" s="159" t="s">
        <v>4782</v>
      </c>
      <c r="B12" s="166" t="s">
        <v>4549</v>
      </c>
      <c r="C12" s="167">
        <v>2</v>
      </c>
      <c r="D12" s="148">
        <v>2</v>
      </c>
      <c r="E12" s="168">
        <v>3</v>
      </c>
      <c r="F12" s="168">
        <v>3</v>
      </c>
      <c r="G12" s="168">
        <v>4</v>
      </c>
      <c r="H12" s="168">
        <v>4</v>
      </c>
      <c r="I12" s="168">
        <v>4</v>
      </c>
      <c r="J12" s="168">
        <v>4</v>
      </c>
      <c r="K12" s="168">
        <v>4</v>
      </c>
      <c r="L12" s="168">
        <v>4</v>
      </c>
      <c r="M12" s="168">
        <v>4</v>
      </c>
      <c r="N12" s="146" t="s">
        <v>4687</v>
      </c>
      <c r="O12" s="146" t="s">
        <v>4801</v>
      </c>
      <c r="P12" s="170">
        <v>1</v>
      </c>
    </row>
    <row r="13" spans="1:16" ht="52.2">
      <c r="A13" s="159" t="s">
        <v>4783</v>
      </c>
      <c r="B13" s="166" t="s">
        <v>4549</v>
      </c>
      <c r="C13" s="167">
        <v>2</v>
      </c>
      <c r="D13" s="148">
        <v>2</v>
      </c>
      <c r="E13" s="168">
        <v>3</v>
      </c>
      <c r="F13" s="168">
        <v>3</v>
      </c>
      <c r="G13" s="168">
        <v>4</v>
      </c>
      <c r="H13" s="168">
        <v>4</v>
      </c>
      <c r="I13" s="168">
        <v>4</v>
      </c>
      <c r="J13" s="168">
        <v>4</v>
      </c>
      <c r="K13" s="168">
        <v>4</v>
      </c>
      <c r="L13" s="168">
        <v>4</v>
      </c>
      <c r="M13" s="168">
        <v>4</v>
      </c>
      <c r="N13" s="146" t="s">
        <v>4687</v>
      </c>
      <c r="O13" s="146" t="s">
        <v>4801</v>
      </c>
      <c r="P13" s="170">
        <v>1</v>
      </c>
    </row>
    <row r="14" spans="1:16" ht="69.599999999999994">
      <c r="A14" s="159" t="s">
        <v>4762</v>
      </c>
      <c r="B14" s="166" t="s">
        <v>4549</v>
      </c>
      <c r="C14" s="167">
        <v>2</v>
      </c>
      <c r="D14" s="148">
        <v>2</v>
      </c>
      <c r="E14" s="168">
        <v>3</v>
      </c>
      <c r="F14" s="168">
        <v>3</v>
      </c>
      <c r="G14" s="168">
        <v>4</v>
      </c>
      <c r="H14" s="168">
        <v>4</v>
      </c>
      <c r="I14" s="168">
        <v>4</v>
      </c>
      <c r="J14" s="168">
        <v>4</v>
      </c>
      <c r="K14" s="168">
        <v>4</v>
      </c>
      <c r="L14" s="168">
        <v>4</v>
      </c>
      <c r="M14" s="168">
        <v>4</v>
      </c>
      <c r="N14" s="146" t="s">
        <v>4687</v>
      </c>
      <c r="O14" s="146" t="s">
        <v>4801</v>
      </c>
      <c r="P14" s="170">
        <v>1</v>
      </c>
    </row>
    <row r="15" spans="1:16" ht="52.8" thickBot="1">
      <c r="A15" s="159" t="s">
        <v>4784</v>
      </c>
      <c r="B15" s="166" t="s">
        <v>4557</v>
      </c>
      <c r="C15" s="167">
        <v>2</v>
      </c>
      <c r="D15" s="148">
        <v>2</v>
      </c>
      <c r="E15" s="168">
        <v>2</v>
      </c>
      <c r="F15" s="148">
        <v>2</v>
      </c>
      <c r="G15" s="168">
        <v>4</v>
      </c>
      <c r="H15" s="168">
        <v>4</v>
      </c>
      <c r="I15" s="168">
        <v>4</v>
      </c>
      <c r="J15" s="168">
        <v>4</v>
      </c>
      <c r="K15" s="168">
        <v>4</v>
      </c>
      <c r="L15" s="168">
        <v>4</v>
      </c>
      <c r="M15" s="168">
        <v>4</v>
      </c>
      <c r="N15" s="146" t="s">
        <v>4687</v>
      </c>
      <c r="O15" s="146" t="s">
        <v>4801</v>
      </c>
      <c r="P15" s="170">
        <v>1</v>
      </c>
    </row>
    <row r="16" spans="1:16">
      <c r="N16" s="171"/>
    </row>
  </sheetData>
  <mergeCells count="11">
    <mergeCell ref="P6:P7"/>
    <mergeCell ref="A1:P1"/>
    <mergeCell ref="B3:C3"/>
    <mergeCell ref="F3:M3"/>
    <mergeCell ref="B4:C4"/>
    <mergeCell ref="F4:M4"/>
    <mergeCell ref="A6:A7"/>
    <mergeCell ref="B6:B7"/>
    <mergeCell ref="C6:M6"/>
    <mergeCell ref="N6:N7"/>
    <mergeCell ref="O6:O7"/>
  </mergeCells>
  <conditionalFormatting sqref="C8:M15">
    <cfRule type="cellIs" dxfId="0" priority="1" operator="greaterThan">
      <formula>3</formula>
    </cfRule>
  </conditionalFormatting>
  <dataValidations count="2">
    <dataValidation type="list" showInputMessage="1" showErrorMessage="1" sqref="C8:M15" xr:uid="{00000000-0002-0000-0C00-000000000000}">
      <formula1>"1,2,3,4,5"</formula1>
    </dataValidation>
    <dataValidation type="list" allowBlank="1" showInputMessage="1" showErrorMessage="1" sqref="B8:B15" xr:uid="{00000000-0002-0000-0C00-000001000000}"/>
  </dataValidations>
  <pageMargins left="0.7" right="0.7" top="0.75" bottom="0.75" header="0.3" footer="0.3"/>
  <pageSetup paperSize="9" orientation="landscape" horizontalDpi="300" verticalDpi="3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"/>
  <sheetViews>
    <sheetView showGridLines="0" zoomScale="92" zoomScaleNormal="55" workbookViewId="0">
      <selection activeCell="AM18" sqref="AM18"/>
    </sheetView>
  </sheetViews>
  <sheetFormatPr defaultRowHeight="14.4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02E3-F0E0-42E0-A7A5-6A49E995AE01}">
  <sheetPr>
    <tabColor rgb="FFFF0000"/>
  </sheetPr>
  <dimension ref="A1"/>
  <sheetViews>
    <sheetView showGridLines="0" topLeftCell="A3" zoomScaleNormal="100" workbookViewId="0">
      <selection activeCell="K10" sqref="K10"/>
    </sheetView>
  </sheetViews>
  <sheetFormatPr defaultRowHeight="14.4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bbf5a-12c4-4dfc-a8ca-e71c43c11f3b" xsi:nil="true"/>
    <lcf76f155ced4ddcb4097134ff3c332f xmlns="fd765167-c84c-422f-bafa-65c8cdbfc08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1124E1681132458B512363E8175DCC" ma:contentTypeVersion="20" ma:contentTypeDescription="Create a new document." ma:contentTypeScope="" ma:versionID="6854e95b6ae8217aaf403125efad584d">
  <xsd:schema xmlns:xsd="http://www.w3.org/2001/XMLSchema" xmlns:xs="http://www.w3.org/2001/XMLSchema" xmlns:p="http://schemas.microsoft.com/office/2006/metadata/properties" xmlns:ns2="bf4bbf5a-12c4-4dfc-a8ca-e71c43c11f3b" xmlns:ns3="fd765167-c84c-422f-bafa-65c8cdbfc085" targetNamespace="http://schemas.microsoft.com/office/2006/metadata/properties" ma:root="true" ma:fieldsID="cf0aa4ab736a5a37fbaa2e17c5eb14d5" ns2:_="" ns3:_="">
    <xsd:import namespace="bf4bbf5a-12c4-4dfc-a8ca-e71c43c11f3b"/>
    <xsd:import namespace="fd765167-c84c-422f-bafa-65c8cdbfc0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bbf5a-12c4-4dfc-a8ca-e71c43c11f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09d8e5b-b30c-40ea-8d7c-4346983e3344}" ma:internalName="TaxCatchAll" ma:showField="CatchAllData" ma:web="bf4bbf5a-12c4-4dfc-a8ca-e71c43c11f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65167-c84c-422f-bafa-65c8cdbfc0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cf32f9b-7c9a-46f0-a0f2-f5e9d82c0f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7FFA87-49C4-4C0B-BB6B-9A8FD6496EB9}">
  <ds:schemaRefs>
    <ds:schemaRef ds:uri="http://schemas.microsoft.com/office/2006/metadata/properties"/>
    <ds:schemaRef ds:uri="http://schemas.microsoft.com/office/infopath/2007/PartnerControls"/>
    <ds:schemaRef ds:uri="bf4bbf5a-12c4-4dfc-a8ca-e71c43c11f3b"/>
    <ds:schemaRef ds:uri="fd765167-c84c-422f-bafa-65c8cdbfc085"/>
  </ds:schemaRefs>
</ds:datastoreItem>
</file>

<file path=customXml/itemProps2.xml><?xml version="1.0" encoding="utf-8"?>
<ds:datastoreItem xmlns:ds="http://schemas.openxmlformats.org/officeDocument/2006/customXml" ds:itemID="{85F56AD1-7351-4ECC-B6ED-64DEE3CDFC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0131FD-98E6-4D57-967A-449E4F9530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4bbf5a-12c4-4dfc-a8ca-e71c43c11f3b"/>
    <ds:schemaRef ds:uri="fd765167-c84c-422f-bafa-65c8cdbfc0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Data</vt:lpstr>
      <vt:lpstr>Risk Criteria (TH)</vt:lpstr>
      <vt:lpstr>Risk Criteria (ENG)</vt:lpstr>
      <vt:lpstr>Data1</vt:lpstr>
      <vt:lpstr>2. BIA Process</vt:lpstr>
      <vt:lpstr>3.RA Process</vt:lpstr>
      <vt:lpstr>Risk Criteria</vt:lpstr>
      <vt:lpstr>1.3 BIA Plant incident</vt:lpstr>
      <vt:lpstr>1.2 Plant incident </vt:lpstr>
      <vt:lpstr>3.RA Crisis</vt:lpstr>
      <vt:lpstr>1.4 RA Plant Incident </vt:lpstr>
      <vt:lpstr>2. BIA Product</vt:lpstr>
      <vt:lpstr>2.2 BIA Process</vt:lpstr>
      <vt:lpstr>2.2.2 BIA Plant Incident 2</vt:lpstr>
      <vt:lpstr>Risk Heat Map Criteria</vt:lpstr>
      <vt:lpstr>Scenarios</vt:lpstr>
      <vt:lpstr>'Risk Criteria (ENG)'!Print_Area</vt:lpstr>
      <vt:lpstr>'1.2 Plant incident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Kraison Sawatthaisong-GPSC</dc:creator>
  <cp:keywords/>
  <dc:description/>
  <cp:lastModifiedBy>Parattakorn UdomArnun</cp:lastModifiedBy>
  <cp:revision/>
  <cp:lastPrinted>2022-09-29T01:21:26Z</cp:lastPrinted>
  <dcterms:created xsi:type="dcterms:W3CDTF">2021-02-01T04:43:54Z</dcterms:created>
  <dcterms:modified xsi:type="dcterms:W3CDTF">2025-10-26T11:40:24Z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0x010100921124E1681132458B512363E8175DCC</vt:lpwstr>
  </property>
  <property fmtid="{D5CDD505-2E9C-101B-9397-08002B2CF9AE}" pid="3" name="MediaServiceImageTags">
    <vt:lpwstr/>
  </property>
</Properties>
</file>